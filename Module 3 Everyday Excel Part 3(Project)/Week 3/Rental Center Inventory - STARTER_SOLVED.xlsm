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28FF8F5F-B5F3-4FC8-B315-1FE0AF886201}" xr6:coauthVersionLast="47" xr6:coauthVersionMax="47" xr10:uidLastSave="{00000000-0000-0000-0000-000000000000}"/>
  <bookViews>
    <workbookView xWindow="-120" yWindow="-120" windowWidth="29040" windowHeight="15840" activeTab="1" xr2:uid="{94953603-1D3A-4867-A4F6-56329C14B462}"/>
  </bookViews>
  <sheets>
    <sheet name="Dashboard" sheetId="2" r:id="rId1"/>
    <sheet name="Inventory" sheetId="1" r:id="rId2"/>
    <sheet name="Original Data" sheetId="3" r:id="rId3"/>
  </sheets>
  <externalReferences>
    <externalReference r:id="rId4"/>
  </externalReferences>
  <definedNames>
    <definedName name="Brand">[1]Dashboard!$C$4</definedName>
    <definedName name="Category">[1]Dashboard!$C$2</definedName>
    <definedName name="Description">[1]Dashboard!$C$3</definedName>
    <definedName name="SizeModel">[1]Dashboard!$C$5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6" i="1" l="1" a="1"/>
  <c r="Z6" i="1" s="1"/>
  <c r="Y6" i="1" a="1"/>
  <c r="Y6" i="1" s="1"/>
  <c r="N6" i="1" a="1"/>
  <c r="N6" i="1" s="1"/>
  <c r="AD6" i="1" a="1"/>
  <c r="AD6" i="1" s="1"/>
  <c r="AA6" i="1" a="1"/>
  <c r="AA6" i="1" s="1"/>
  <c r="AF6" i="1" a="1"/>
  <c r="AF6" i="1" s="1"/>
  <c r="AE6" i="1" a="1"/>
  <c r="AE6" i="1" s="1"/>
  <c r="AG6" i="1" l="1" a="1"/>
  <c r="AG6" i="1" s="1"/>
  <c r="AH6" i="1" s="1" a="1"/>
  <c r="AH6" i="1" s="1"/>
  <c r="AB6" i="1" a="1"/>
  <c r="AB6" i="1" s="1"/>
  <c r="AC6" i="1" s="1" a="1"/>
  <c r="AC6" i="1" s="1"/>
  <c r="X6" i="1" l="1"/>
  <c r="Q6" i="1" l="1" a="1"/>
  <c r="Q6" i="1" s="1"/>
  <c r="P6" i="1" a="1"/>
  <c r="P6" i="1" s="1"/>
  <c r="O6" i="1" a="1"/>
  <c r="O6" i="1" s="1"/>
  <c r="R6" i="1" l="1" a="1"/>
  <c r="R6" i="1" s="1"/>
  <c r="M6" i="1" a="1"/>
  <c r="M6" i="1" s="1"/>
  <c r="L6" i="1" a="1"/>
  <c r="L6" i="1" s="1"/>
  <c r="K6" i="1" a="1"/>
  <c r="K6" i="1" s="1"/>
  <c r="J6" i="1" a="1"/>
  <c r="J6" i="1" s="1"/>
  <c r="T6" i="1" l="1" a="1"/>
  <c r="T6" i="1" s="1"/>
  <c r="C8" i="2" s="1"/>
  <c r="S6" i="1" a="1"/>
  <c r="S6" i="1" s="1"/>
  <c r="C7" i="2" s="1"/>
  <c r="V6" i="1" a="1"/>
  <c r="V6" i="1" s="1"/>
  <c r="C10" i="2" s="1"/>
  <c r="U6" i="1" a="1"/>
  <c r="U6" i="1" s="1"/>
  <c r="C9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<sst xmlns="http://schemas.openxmlformats.org/spreadsheetml/2006/main" count="697" uniqueCount="183">
  <si>
    <t>Charlie's Rental Center</t>
  </si>
  <si>
    <t>Category</t>
  </si>
  <si>
    <t>Brand</t>
  </si>
  <si>
    <t>Power Tools</t>
  </si>
  <si>
    <t>Description</t>
  </si>
  <si>
    <t>Hand Tools</t>
  </si>
  <si>
    <t>Hand saw</t>
  </si>
  <si>
    <t>Woodson</t>
  </si>
  <si>
    <t>24 inches</t>
  </si>
  <si>
    <t>Circular saw</t>
  </si>
  <si>
    <t>Dewalt</t>
  </si>
  <si>
    <t>6.5-inch</t>
  </si>
  <si>
    <t>Ladders and scaffolding</t>
  </si>
  <si>
    <t>Ladder</t>
  </si>
  <si>
    <t>Smith Ladders</t>
  </si>
  <si>
    <t>20-foot</t>
  </si>
  <si>
    <t>Chairs and tables</t>
  </si>
  <si>
    <t>Folding chair</t>
  </si>
  <si>
    <t>--</t>
  </si>
  <si>
    <t>Plastic table</t>
  </si>
  <si>
    <t>Fanny's Furniture</t>
  </si>
  <si>
    <t>4 person</t>
  </si>
  <si>
    <t>Screwdriver</t>
  </si>
  <si>
    <t>Ace Hardware</t>
  </si>
  <si>
    <t>Excavating Equipment</t>
  </si>
  <si>
    <t>John Deere</t>
  </si>
  <si>
    <t>Size/Model</t>
  </si>
  <si>
    <t>35D</t>
  </si>
  <si>
    <t>Backhoe</t>
  </si>
  <si>
    <t>310SL</t>
  </si>
  <si>
    <t>Quantity</t>
  </si>
  <si>
    <t>Tents and gazebos</t>
  </si>
  <si>
    <t>Canvas party tent</t>
  </si>
  <si>
    <t>Party Solutions</t>
  </si>
  <si>
    <t>32' x 40'</t>
  </si>
  <si>
    <t>10' x 24'</t>
  </si>
  <si>
    <t>50' x 80'</t>
  </si>
  <si>
    <t>Carpet cleaning</t>
  </si>
  <si>
    <t>Steam cleaner</t>
  </si>
  <si>
    <t>Sanding and finishing</t>
  </si>
  <si>
    <t>Drum sander</t>
  </si>
  <si>
    <t>Metal scaffolding</t>
  </si>
  <si>
    <t>MetalTech</t>
  </si>
  <si>
    <t>1 set, 5' x 7'</t>
  </si>
  <si>
    <t>Safety platform</t>
  </si>
  <si>
    <t>7'</t>
  </si>
  <si>
    <t>Tile saw</t>
  </si>
  <si>
    <t>0.75 HP</t>
  </si>
  <si>
    <t>1.5 HP</t>
  </si>
  <si>
    <t>7-inch</t>
  </si>
  <si>
    <t>10-inch</t>
  </si>
  <si>
    <t>MK</t>
  </si>
  <si>
    <t>8-inch</t>
  </si>
  <si>
    <t>Mid-size excavator</t>
  </si>
  <si>
    <t>75G</t>
  </si>
  <si>
    <t>Large excavator</t>
  </si>
  <si>
    <t>670G</t>
  </si>
  <si>
    <t>CAT</t>
  </si>
  <si>
    <t>Mini excavator</t>
  </si>
  <si>
    <t>50G</t>
  </si>
  <si>
    <t>302 CR</t>
  </si>
  <si>
    <t>Skid Steer</t>
  </si>
  <si>
    <t>246D3</t>
  </si>
  <si>
    <t>Cleaning and polishing</t>
  </si>
  <si>
    <t>Vacuum</t>
  </si>
  <si>
    <t>Palm sander</t>
  </si>
  <si>
    <t>Floor sander</t>
  </si>
  <si>
    <t>Floor polisher</t>
  </si>
  <si>
    <t>Brad nailer</t>
  </si>
  <si>
    <t>Air compressors and nailers</t>
  </si>
  <si>
    <t>Milwaukee</t>
  </si>
  <si>
    <t>Framing nailer</t>
  </si>
  <si>
    <t>Powerless circular saw</t>
  </si>
  <si>
    <t>6-inch</t>
  </si>
  <si>
    <t>Cleveland Tools</t>
  </si>
  <si>
    <t>Concrete and foundations</t>
  </si>
  <si>
    <t>Concrete form</t>
  </si>
  <si>
    <t>2' x 4'</t>
  </si>
  <si>
    <t>Concrete stakes</t>
  </si>
  <si>
    <t>Lawn and garden</t>
  </si>
  <si>
    <t>Woodworking tools</t>
  </si>
  <si>
    <t>Router</t>
  </si>
  <si>
    <t>Router w/ table</t>
  </si>
  <si>
    <t>Makita</t>
  </si>
  <si>
    <t>Handheld grinder</t>
  </si>
  <si>
    <t>Belt sander</t>
  </si>
  <si>
    <t>Porter Cable</t>
  </si>
  <si>
    <t>Impact driver - cordless</t>
  </si>
  <si>
    <t>Cordless drill</t>
  </si>
  <si>
    <t>Right angle drill</t>
  </si>
  <si>
    <t>Hole Hawg</t>
  </si>
  <si>
    <t>6 gal</t>
  </si>
  <si>
    <t>Husky</t>
  </si>
  <si>
    <t>20 gal</t>
  </si>
  <si>
    <t>Air compressor w/ hose</t>
  </si>
  <si>
    <t>12-inch</t>
  </si>
  <si>
    <t>Pruning saw</t>
  </si>
  <si>
    <t>14-inch</t>
  </si>
  <si>
    <t>Pruning snippers</t>
  </si>
  <si>
    <t>Extension cord</t>
  </si>
  <si>
    <t>25'</t>
  </si>
  <si>
    <t>50'</t>
  </si>
  <si>
    <t>Gasoline generator</t>
  </si>
  <si>
    <t>Portable Power</t>
  </si>
  <si>
    <t>Solar Panel</t>
  </si>
  <si>
    <t>Ryobi</t>
  </si>
  <si>
    <t>8,000-watt</t>
  </si>
  <si>
    <t>6,500-watt</t>
  </si>
  <si>
    <t>Sun Fun</t>
  </si>
  <si>
    <t>2 sq. meter</t>
  </si>
  <si>
    <t>10 sq. meter</t>
  </si>
  <si>
    <t>Round-point digging shovel</t>
  </si>
  <si>
    <t>Razor-Back</t>
  </si>
  <si>
    <t>48"</t>
  </si>
  <si>
    <t>Fiskars</t>
  </si>
  <si>
    <t>Square-point shovel</t>
  </si>
  <si>
    <t>Pickaxe</t>
  </si>
  <si>
    <t>6 lb</t>
  </si>
  <si>
    <t>5 lb</t>
  </si>
  <si>
    <t>Axe</t>
  </si>
  <si>
    <t>Hatchet</t>
  </si>
  <si>
    <t>Wood splitter</t>
  </si>
  <si>
    <t>27R</t>
  </si>
  <si>
    <t>15-amp/13"</t>
  </si>
  <si>
    <t>Ridgid</t>
  </si>
  <si>
    <t>12-amp/13"</t>
  </si>
  <si>
    <t>Snow shovel</t>
  </si>
  <si>
    <t>Harry's Tools</t>
  </si>
  <si>
    <t>24"</t>
  </si>
  <si>
    <t>Snowblower</t>
  </si>
  <si>
    <t>Cub</t>
  </si>
  <si>
    <t>Cadet, 32"</t>
  </si>
  <si>
    <t>6-amp</t>
  </si>
  <si>
    <t>5.5-amp</t>
  </si>
  <si>
    <t>Jointer</t>
  </si>
  <si>
    <t>Delta</t>
  </si>
  <si>
    <t>Shaper</t>
  </si>
  <si>
    <t>Toro</t>
  </si>
  <si>
    <t>28"</t>
  </si>
  <si>
    <t>3-amp</t>
  </si>
  <si>
    <t>54V</t>
  </si>
  <si>
    <t>9903 8.8-amp</t>
  </si>
  <si>
    <t>23D</t>
  </si>
  <si>
    <t>87S</t>
  </si>
  <si>
    <t>M18 FUEL</t>
  </si>
  <si>
    <t>Finish nailer</t>
  </si>
  <si>
    <t>20V</t>
  </si>
  <si>
    <t>ACME</t>
  </si>
  <si>
    <t>10-person</t>
  </si>
  <si>
    <t>705X</t>
  </si>
  <si>
    <t>355RP</t>
  </si>
  <si>
    <t>Not available</t>
  </si>
  <si>
    <t>Generic</t>
  </si>
  <si>
    <t>T100</t>
  </si>
  <si>
    <t>Chisle</t>
  </si>
  <si>
    <t>1.5"</t>
  </si>
  <si>
    <t>Category:</t>
  </si>
  <si>
    <t>Description:</t>
  </si>
  <si>
    <t>Brand:</t>
  </si>
  <si>
    <t>Size/Model:</t>
  </si>
  <si>
    <t>Cost per hr ($)</t>
  </si>
  <si>
    <t>Cost per day ($)</t>
  </si>
  <si>
    <t>Cost per week ($)</t>
  </si>
  <si>
    <t>Cost per hr:</t>
  </si>
  <si>
    <t>Cost per day:</t>
  </si>
  <si>
    <t>Cost per week:</t>
  </si>
  <si>
    <t>Quantity:</t>
  </si>
  <si>
    <t>Hand planer</t>
  </si>
  <si>
    <t>Planer</t>
  </si>
  <si>
    <t>12-amp/6"</t>
  </si>
  <si>
    <t>7.5-amp</t>
  </si>
  <si>
    <t>18-volt</t>
  </si>
  <si>
    <t>20-volt</t>
  </si>
  <si>
    <t>Werner</t>
  </si>
  <si>
    <t>8-foot</t>
  </si>
  <si>
    <t>24-foot</t>
  </si>
  <si>
    <t>Gorilla Ladders</t>
  </si>
  <si>
    <t>18-gauge</t>
  </si>
  <si>
    <t>*IMPORTANT: Do NOT remove any of the items from the inventory below!</t>
  </si>
  <si>
    <t>If you accidentally delete data, copy/paste from 'Original Data' tab</t>
  </si>
  <si>
    <t>If you add rows to test your solution, make sure to delete them prior to GRADING!</t>
  </si>
  <si>
    <t>--&gt; Begin all work in column J</t>
  </si>
  <si>
    <t>18-guage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</si>
</sst>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44" fontId="0" fillId="0" borderId="1" xfId="1" applyFont="1" applyBorder="1"/>
    <xf numFmtId="44" fontId="0" fillId="0" borderId="2" xfId="1" applyFont="1" applyBorder="1"/>
    <xf numFmtId="0" fontId="0" fillId="0" borderId="3" xfId="1" applyNumberFormat="1" applyFont="1" applyBorder="1"/>
    <xf numFmtId="44" fontId="0" fillId="0" borderId="0" xfId="1" applyFont="1" applyFill="1" applyBorder="1"/>
    <xf numFmtId="0" fontId="0" fillId="0" borderId="0" xfId="1" applyNumberFormat="1" applyFont="1" applyFill="1" applyBorder="1"/>
    <xf numFmtId="0" fontId="2" fillId="0" borderId="0" xfId="0" quotePrefix="1" applyFont="1"/>
    <xf numFmtId="0" fontId="0" fillId="0" borderId="4" xfId="0" applyBorder="1"/>
    <xf numFmtId="0" fontId="2" fillId="0" borderId="5" xfId="0" applyFont="1" applyBorder="1"/>
  </cellXfs>
  <cellStyles count="2">
    <cellStyle name="Currency" xfId="1" builtinId="4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arlie\Documents\MOOC%20Excel\Projects\Rental%20Center%20Inventory\Rental%20Center%20Inventory%20-%20WORK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Inventory"/>
      <sheetName val="Original Data"/>
    </sheetNames>
    <sheetDataSet>
      <sheetData sheetId="0" refreshError="1">
        <row r="2">
          <cell r="C2" t="str">
            <v>Portable Power</v>
          </cell>
        </row>
        <row r="3">
          <cell r="C3" t="str">
            <v>-- Choose Description --</v>
          </cell>
        </row>
        <row r="4">
          <cell r="C4" t="str">
            <v>-- Choose Brand --</v>
          </cell>
        </row>
        <row r="5">
          <cell r="C5" t="str">
            <v>-- Choose Size/Model --</v>
          </cell>
        </row>
      </sheetData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2EF754-660C-4BBE-B64D-E4BC5A77781F}" name="Table1" displayName="Table1" ref="A5:H85" totalsRowShown="0" headerRowDxfId="5" dataDxfId="4" dataCellStyle="Currency">
  <autoFilter ref="A5:H85" xr:uid="{7B2EF754-660C-4BBE-B64D-E4BC5A77781F}"/>
  <tableColumns count="8">
    <tableColumn id="1" xr3:uid="{D48DB45D-8483-4585-A441-737ECEB1D18D}" name="Category"/>
    <tableColumn id="2" xr3:uid="{0527FA71-EFBC-480F-AAD0-F12C46D33E30}" name="Description"/>
    <tableColumn id="3" xr3:uid="{E045967C-C493-4F5E-92D0-85415E57E963}" name="Brand"/>
    <tableColumn id="4" xr3:uid="{28E93021-F502-441C-86A5-E4347914E1BC}" name="Size/Model"/>
    <tableColumn id="5" xr3:uid="{567BDADD-70CE-4B16-8ADB-F959CC233C8A}" name="Cost per hr ($)" dataDxfId="3" dataCellStyle="Currency"/>
    <tableColumn id="6" xr3:uid="{3FC6FA78-DF0E-4415-B0A4-9CF545D01E80}" name="Cost per day ($)" dataDxfId="2" dataCellStyle="Currency"/>
    <tableColumn id="7" xr3:uid="{0A67A7B4-1622-4CBE-A38D-A0698BFEB235}" name="Cost per week ($)" dataDxfId="1" dataCellStyle="Currency"/>
    <tableColumn id="8" xr3:uid="{81AF8155-63E2-41BE-A3CA-7825EF139CD7}" name="Quantity" dataDxfId="0" dataCellStyle="Currency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414DB-E71C-4C9A-A0E7-B535A30157DE}">
  <sheetPr codeName="Sheet1"/>
  <dimension ref="B2:C10"/>
  <sheetViews>
    <sheetView workbookViewId="0">
      <selection activeCell="C5" sqref="C5"/>
    </sheetView>
  </sheetViews>
  <sheetFormatPr defaultRowHeight="15" x14ac:dyDescent="0.25"/>
  <cols>
    <col min="3" max="3" width="19.28515625" bestFit="1" customWidth="1"/>
  </cols>
  <sheetData>
    <row r="2" spans="2:3" x14ac:dyDescent="0.25">
      <c r="B2" s="2" t="s">
        <v>156</v>
      </c>
      <c r="C2" t="s">
        <v>5</v>
      </c>
    </row>
    <row r="3" spans="2:3" x14ac:dyDescent="0.25">
      <c r="B3" s="2" t="s">
        <v>157</v>
      </c>
      <c r="C3" t="s">
        <v>22</v>
      </c>
    </row>
    <row r="4" spans="2:3" x14ac:dyDescent="0.25">
      <c r="B4" s="2" t="s">
        <v>158</v>
      </c>
      <c r="C4" t="s">
        <v>23</v>
      </c>
    </row>
    <row r="5" spans="2:3" x14ac:dyDescent="0.25">
      <c r="B5" s="2" t="s">
        <v>159</v>
      </c>
      <c r="C5" t="s">
        <v>18</v>
      </c>
    </row>
    <row r="6" spans="2:3" ht="15.75" thickBot="1" x14ac:dyDescent="0.3"/>
    <row r="7" spans="2:3" x14ac:dyDescent="0.25">
      <c r="B7" s="2" t="s">
        <v>163</v>
      </c>
      <c r="C7" s="3">
        <f>IF(OR(C3="-- Choose Description --",C4="-- Choose Brand --",C5="-- Choose Size/Model --"),"&lt; Reselect criteria &gt;",Inventory!S6)</f>
        <v>1.75</v>
      </c>
    </row>
    <row r="8" spans="2:3" x14ac:dyDescent="0.25">
      <c r="B8" s="2" t="s">
        <v>164</v>
      </c>
      <c r="C8" s="4">
        <f>IF(OR(C3="-- Choose Description --",C4="-- Choose Brand --",C5="-- Choose Size/Model --"),"&lt; Reselect criteria &gt;",Inventory!T6)</f>
        <v>7.5</v>
      </c>
    </row>
    <row r="9" spans="2:3" x14ac:dyDescent="0.25">
      <c r="B9" s="2" t="s">
        <v>165</v>
      </c>
      <c r="C9" s="4">
        <f>IF(OR(C3="-- Choose Description --",C4="-- Choose Brand --",C5="-- Choose Size/Model --"),"&lt; Reselect criteria &gt;",Inventory!U6)</f>
        <v>19.25</v>
      </c>
    </row>
    <row r="10" spans="2:3" ht="15.75" thickBot="1" x14ac:dyDescent="0.3">
      <c r="B10" s="2" t="s">
        <v>166</v>
      </c>
      <c r="C10" s="5">
        <f>IF(OR(C3="-- Choose Description --",C4="-- Choose Brand --",C5="-- Choose Size/Model --"),"&lt; Reselect criteria &gt;",Inventory!V6)</f>
        <v>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8E5C015-E37F-4642-8F6C-5AC34277308A}">
          <x14:formula1>
            <xm:f>_xlfn.ANCHORARRAY(Inventory!$J$6)</xm:f>
          </x14:formula1>
          <xm:sqref>C2</xm:sqref>
        </x14:dataValidation>
        <x14:dataValidation type="list" allowBlank="1" showInputMessage="1" showErrorMessage="1" xr:uid="{92A08F9C-30B5-4A5A-8555-31A441E463D7}">
          <x14:formula1>
            <xm:f>_xlfn.ANCHORARRAY(Inventory!$Y$6)</xm:f>
          </x14:formula1>
          <xm:sqref>C3</xm:sqref>
        </x14:dataValidation>
        <x14:dataValidation type="list" allowBlank="1" showInputMessage="1" showErrorMessage="1" xr:uid="{85CFD52C-BBAC-4330-9B40-E978B4918EA1}">
          <x14:formula1>
            <xm:f>_xlfn.ANCHORARRAY(Inventory!$AC$6)</xm:f>
          </x14:formula1>
          <xm:sqref>C4</xm:sqref>
        </x14:dataValidation>
        <x14:dataValidation type="list" allowBlank="1" showInputMessage="1" showErrorMessage="1" xr:uid="{EE651E1B-131B-4D4C-88B9-5467B6799AB4}">
          <x14:formula1>
            <xm:f>_xlfn.ANCHORARRAY(Inventory!$AH$6)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1E5C5-BDEF-4B58-8DA5-AB1F25C784E5}">
  <sheetPr codeName="Sheet2"/>
  <dimension ref="A1:AH85"/>
  <sheetViews>
    <sheetView tabSelected="1" topLeftCell="M1" workbookViewId="0">
      <selection activeCell="AF6" sqref="AF6"/>
    </sheetView>
  </sheetViews>
  <sheetFormatPr defaultRowHeight="15" x14ac:dyDescent="0.25"/>
  <cols>
    <col min="1" max="1" width="22.5703125" bestFit="1" customWidth="1"/>
    <col min="2" max="2" width="22.42578125" bestFit="1" customWidth="1"/>
    <col min="3" max="3" width="14.28515625" bestFit="1" customWidth="1"/>
    <col min="4" max="4" width="13.42578125" customWidth="1"/>
    <col min="5" max="5" width="15.5703125" customWidth="1"/>
    <col min="6" max="6" width="16.85546875" customWidth="1"/>
    <col min="7" max="7" width="18.5703125" customWidth="1"/>
    <col min="8" max="8" width="10.85546875" customWidth="1"/>
    <col min="9" max="9" width="9" style="9"/>
    <col min="10" max="10" width="27.140625" customWidth="1"/>
    <col min="11" max="11" width="25.85546875" customWidth="1"/>
    <col min="12" max="12" width="16.42578125" customWidth="1"/>
    <col min="13" max="13" width="12.5703125" customWidth="1"/>
    <col min="24" max="24" width="11.85546875" bestFit="1" customWidth="1"/>
    <col min="25" max="25" width="13" customWidth="1"/>
    <col min="26" max="26" width="9.28515625" customWidth="1"/>
    <col min="27" max="27" width="10.7109375" customWidth="1"/>
    <col min="28" max="28" width="7.7109375" customWidth="1"/>
    <col min="29" max="29" width="16.42578125" bestFit="1" customWidth="1"/>
    <col min="30" max="30" width="11.140625" bestFit="1" customWidth="1"/>
  </cols>
  <sheetData>
    <row r="1" spans="1:34" x14ac:dyDescent="0.25">
      <c r="A1" s="1" t="s">
        <v>0</v>
      </c>
      <c r="C1" t="s">
        <v>178</v>
      </c>
      <c r="J1" s="8" t="s">
        <v>181</v>
      </c>
    </row>
    <row r="2" spans="1:34" x14ac:dyDescent="0.25">
      <c r="C2" t="s">
        <v>179</v>
      </c>
    </row>
    <row r="3" spans="1:34" x14ac:dyDescent="0.25">
      <c r="C3" t="s">
        <v>180</v>
      </c>
    </row>
    <row r="5" spans="1:34" ht="15.75" thickBot="1" x14ac:dyDescent="0.3">
      <c r="A5" s="1" t="s">
        <v>1</v>
      </c>
      <c r="B5" s="1" t="s">
        <v>4</v>
      </c>
      <c r="C5" s="1" t="s">
        <v>2</v>
      </c>
      <c r="D5" s="1" t="s">
        <v>26</v>
      </c>
      <c r="E5" s="1" t="s">
        <v>160</v>
      </c>
      <c r="F5" s="1" t="s">
        <v>161</v>
      </c>
      <c r="G5" s="1" t="s">
        <v>162</v>
      </c>
      <c r="H5" s="1" t="s">
        <v>30</v>
      </c>
      <c r="J5" t="s">
        <v>1</v>
      </c>
      <c r="K5" t="s">
        <v>4</v>
      </c>
      <c r="L5" t="s">
        <v>2</v>
      </c>
      <c r="M5" t="s">
        <v>26</v>
      </c>
      <c r="N5" t="s">
        <v>1</v>
      </c>
      <c r="O5" t="s">
        <v>4</v>
      </c>
      <c r="P5" t="s">
        <v>2</v>
      </c>
      <c r="Q5" t="s">
        <v>26</v>
      </c>
      <c r="S5" s="10" t="s">
        <v>160</v>
      </c>
      <c r="T5" s="10" t="s">
        <v>161</v>
      </c>
      <c r="U5" s="10" t="s">
        <v>162</v>
      </c>
      <c r="V5" s="10" t="s">
        <v>30</v>
      </c>
      <c r="X5" t="s">
        <v>1</v>
      </c>
      <c r="Y5" t="s">
        <v>4</v>
      </c>
      <c r="AC5" t="s">
        <v>2</v>
      </c>
      <c r="AH5" t="s">
        <v>26</v>
      </c>
    </row>
    <row r="6" spans="1:34" x14ac:dyDescent="0.25">
      <c r="A6" t="s">
        <v>3</v>
      </c>
      <c r="B6" t="s">
        <v>9</v>
      </c>
      <c r="C6" t="s">
        <v>10</v>
      </c>
      <c r="D6" t="s">
        <v>11</v>
      </c>
      <c r="E6" s="6">
        <v>12.45</v>
      </c>
      <c r="F6" s="6">
        <v>42.5</v>
      </c>
      <c r="G6" s="6">
        <v>125</v>
      </c>
      <c r="H6" s="7">
        <v>3</v>
      </c>
      <c r="J6" t="str" cm="1">
        <f t="array" ref="J6:J19">_xlfn.UNIQUE(Table1[Category])</f>
        <v>Power Tools</v>
      </c>
      <c r="K6" t="str" cm="1">
        <f t="array" ref="K6:K58">_xlfn.UNIQUE(Table1[Description])</f>
        <v>Circular saw</v>
      </c>
      <c r="L6" t="str" cm="1">
        <f t="array" ref="L6:L32">_xlfn.UNIQUE(Table1[Brand])</f>
        <v>Dewalt</v>
      </c>
      <c r="M6" t="str" cm="1">
        <f t="array" ref="M6:M71">_xlfn.UNIQUE(Table1[Size/Model])</f>
        <v>6.5-inch</v>
      </c>
      <c r="N6" t="b" cm="1">
        <f t="array" ref="N6:N85">Table1[Category]=Dashboard!$C$2</f>
        <v>0</v>
      </c>
      <c r="O6" t="b" cm="1">
        <f t="array" ref="O6:O85">Table1[Description]=Dashboard!$C$3</f>
        <v>0</v>
      </c>
      <c r="P6" t="b" cm="1">
        <f t="array" ref="P6:P85">Table1[Brand]=Dashboard!$C$4</f>
        <v>0</v>
      </c>
      <c r="Q6" t="b" cm="1">
        <f t="array" ref="Q6:Q85">Table1[Size/Model]=Dashboard!$C$5</f>
        <v>0</v>
      </c>
      <c r="R6" cm="1">
        <f t="array" ref="R6:R85">_xlfn.ANCHORARRAY(N6)*_xlfn.ANCHORARRAY(O6)*_xlfn.ANCHORARRAY(P6)*_xlfn.ANCHORARRAY(Q6)</f>
        <v>0</v>
      </c>
      <c r="S6" cm="1">
        <f t="array" ref="S6">_xlfn._xlws.FILTER(Table1[Cost per hr ($)],_xlfn.ANCHORARRAY(R6)=1)</f>
        <v>1.75</v>
      </c>
      <c r="T6" cm="1">
        <f t="array" ref="T6">_xlfn._xlws.FILTER(Table1[Cost per day ($)],_xlfn.ANCHORARRAY(R6)=1)</f>
        <v>7.5</v>
      </c>
      <c r="U6" cm="1">
        <f t="array" ref="U6">_xlfn._xlws.FILTER(Table1[Cost per week ($)],_xlfn.ANCHORARRAY(R6))</f>
        <v>19.25</v>
      </c>
      <c r="V6" cm="1">
        <f t="array" ref="V6">_xlfn._xlws.FILTER(Table1[Quantity],_xlfn.ANCHORARRAY(R6)=1)</f>
        <v>5</v>
      </c>
      <c r="X6" t="str">
        <f>Dashboard!$C$2</f>
        <v>Hand Tools</v>
      </c>
      <c r="Y6" t="str" cm="1">
        <f t="array" ref="Y6:Y10">_xlfn.UNIQUE(_xlfn._xlws.FILTER(Table1[Description],Table1[Category]=_xlfn.ANCHORARRAY(X6)))</f>
        <v>Hand saw</v>
      </c>
      <c r="Z6" t="b" cm="1">
        <f t="array" ref="Z6:Z85">Table1[Category]=Dashboard!$C$2</f>
        <v>0</v>
      </c>
      <c r="AA6" t="b" cm="1">
        <f t="array" ref="AA6:AA85">Table1[Description]=Dashboard!$C$3</f>
        <v>0</v>
      </c>
      <c r="AB6" cm="1">
        <f t="array" ref="AB6:AB85">_xlfn.ANCHORARRAY(Z6)*_xlfn.ANCHORARRAY(AA6)</f>
        <v>0</v>
      </c>
      <c r="AC6" t="str" cm="1">
        <f t="array" ref="AC6">_xlfn._xlws.FILTER(Table1[Brand],_xlfn.ANCHORARRAY(AB6)=1)</f>
        <v>Ace Hardware</v>
      </c>
      <c r="AD6" t="b" cm="1">
        <f t="array" ref="AD6:AD85">Table1[Category]=Dashboard!$C$2</f>
        <v>0</v>
      </c>
      <c r="AE6" t="b" cm="1">
        <f t="array" ref="AE6:AE85">Table1[Description]=Dashboard!$C$3</f>
        <v>0</v>
      </c>
      <c r="AF6" t="b" cm="1">
        <f t="array" ref="AF6:AF85">Table1[Brand]=Dashboard!$C$4</f>
        <v>0</v>
      </c>
      <c r="AG6" cm="1">
        <f t="array" ref="AG6:AG85">_xlfn.ANCHORARRAY(AD6)*_xlfn.ANCHORARRAY(AE6)*_xlfn.ANCHORARRAY(AF6)</f>
        <v>0</v>
      </c>
      <c r="AH6" t="str" cm="1">
        <f t="array" ref="AH6">_xlfn._xlws.FILTER(Table1[Size/Model],_xlfn.ANCHORARRAY(AG6)=1)</f>
        <v>--</v>
      </c>
    </row>
    <row r="7" spans="1:34" x14ac:dyDescent="0.25">
      <c r="A7" t="s">
        <v>5</v>
      </c>
      <c r="B7" t="s">
        <v>6</v>
      </c>
      <c r="C7" t="s">
        <v>7</v>
      </c>
      <c r="D7" t="s">
        <v>8</v>
      </c>
      <c r="E7" s="6">
        <v>8.25</v>
      </c>
      <c r="F7" s="6">
        <v>34.5</v>
      </c>
      <c r="G7" s="6">
        <v>109</v>
      </c>
      <c r="H7" s="7">
        <v>2</v>
      </c>
      <c r="J7" t="str">
        <v>Hand Tools</v>
      </c>
      <c r="K7" t="str">
        <v>Hand saw</v>
      </c>
      <c r="L7" t="str">
        <v>Woodson</v>
      </c>
      <c r="M7" t="str">
        <v>24 inches</v>
      </c>
      <c r="N7" t="b">
        <v>1</v>
      </c>
      <c r="O7" t="b">
        <v>0</v>
      </c>
      <c r="P7" t="b">
        <v>0</v>
      </c>
      <c r="Q7" t="b">
        <v>0</v>
      </c>
      <c r="R7">
        <v>0</v>
      </c>
      <c r="Y7" t="str">
        <v>Screwdriver</v>
      </c>
      <c r="Z7" t="b">
        <v>1</v>
      </c>
      <c r="AA7" t="b">
        <v>0</v>
      </c>
      <c r="AB7">
        <v>0</v>
      </c>
      <c r="AD7" t="b">
        <v>1</v>
      </c>
      <c r="AE7" t="b">
        <v>0</v>
      </c>
      <c r="AF7" t="b">
        <v>0</v>
      </c>
      <c r="AG7">
        <v>0</v>
      </c>
    </row>
    <row r="8" spans="1:34" x14ac:dyDescent="0.25">
      <c r="A8" t="s">
        <v>12</v>
      </c>
      <c r="B8" t="s">
        <v>13</v>
      </c>
      <c r="C8" t="s">
        <v>14</v>
      </c>
      <c r="D8" t="s">
        <v>15</v>
      </c>
      <c r="E8" s="6">
        <v>7.25</v>
      </c>
      <c r="F8" s="6">
        <v>29.5</v>
      </c>
      <c r="G8" s="6">
        <v>95</v>
      </c>
      <c r="H8" s="7">
        <v>1</v>
      </c>
      <c r="J8" t="str">
        <v>Ladders and scaffolding</v>
      </c>
      <c r="K8" t="str">
        <v>Ladder</v>
      </c>
      <c r="L8" t="str">
        <v>Smith Ladders</v>
      </c>
      <c r="M8" t="str">
        <v>20-foot</v>
      </c>
      <c r="N8" t="b">
        <v>0</v>
      </c>
      <c r="O8" t="b">
        <v>0</v>
      </c>
      <c r="P8" t="b">
        <v>0</v>
      </c>
      <c r="Q8" t="b">
        <v>0</v>
      </c>
      <c r="R8">
        <v>0</v>
      </c>
      <c r="Y8" t="str">
        <v>Pruning saw</v>
      </c>
      <c r="Z8" t="b">
        <v>0</v>
      </c>
      <c r="AA8" t="b">
        <v>0</v>
      </c>
      <c r="AB8">
        <v>0</v>
      </c>
      <c r="AD8" t="b">
        <v>0</v>
      </c>
      <c r="AE8" t="b">
        <v>0</v>
      </c>
      <c r="AF8" t="b">
        <v>0</v>
      </c>
      <c r="AG8">
        <v>0</v>
      </c>
    </row>
    <row r="9" spans="1:34" x14ac:dyDescent="0.25">
      <c r="A9" t="s">
        <v>16</v>
      </c>
      <c r="B9" t="s">
        <v>17</v>
      </c>
      <c r="C9" t="s">
        <v>20</v>
      </c>
      <c r="D9" t="s">
        <v>18</v>
      </c>
      <c r="E9" s="6">
        <v>3.25</v>
      </c>
      <c r="F9" s="6">
        <v>12.5</v>
      </c>
      <c r="G9" s="6">
        <v>24.75</v>
      </c>
      <c r="H9" s="7">
        <v>50</v>
      </c>
      <c r="J9" t="str">
        <v>Chairs and tables</v>
      </c>
      <c r="K9" t="str">
        <v>Folding chair</v>
      </c>
      <c r="L9" t="str">
        <v>Fanny's Furniture</v>
      </c>
      <c r="M9" t="str">
        <v>--</v>
      </c>
      <c r="N9" t="b">
        <v>0</v>
      </c>
      <c r="O9" t="b">
        <v>0</v>
      </c>
      <c r="P9" t="b">
        <v>0</v>
      </c>
      <c r="Q9" t="b">
        <v>1</v>
      </c>
      <c r="R9">
        <v>0</v>
      </c>
      <c r="Y9" t="str">
        <v>Pruning snippers</v>
      </c>
      <c r="Z9" t="b">
        <v>0</v>
      </c>
      <c r="AA9" t="b">
        <v>0</v>
      </c>
      <c r="AB9">
        <v>0</v>
      </c>
      <c r="AD9" t="b">
        <v>0</v>
      </c>
      <c r="AE9" t="b">
        <v>0</v>
      </c>
      <c r="AF9" t="b">
        <v>0</v>
      </c>
      <c r="AG9">
        <v>0</v>
      </c>
    </row>
    <row r="10" spans="1:34" x14ac:dyDescent="0.25">
      <c r="A10" t="s">
        <v>16</v>
      </c>
      <c r="B10" t="s">
        <v>19</v>
      </c>
      <c r="C10" t="s">
        <v>20</v>
      </c>
      <c r="D10" t="s">
        <v>21</v>
      </c>
      <c r="E10" s="6">
        <v>6.95</v>
      </c>
      <c r="F10" s="6">
        <v>29.75</v>
      </c>
      <c r="G10" s="6">
        <v>87.5</v>
      </c>
      <c r="H10" s="7">
        <v>20</v>
      </c>
      <c r="J10" t="str">
        <v>Excavating Equipment</v>
      </c>
      <c r="K10" t="str">
        <v>Plastic table</v>
      </c>
      <c r="L10" t="str">
        <v>Ace Hardware</v>
      </c>
      <c r="M10" t="str">
        <v>4 person</v>
      </c>
      <c r="N10" t="b">
        <v>0</v>
      </c>
      <c r="O10" t="b">
        <v>0</v>
      </c>
      <c r="P10" t="b">
        <v>0</v>
      </c>
      <c r="Q10" t="b">
        <v>0</v>
      </c>
      <c r="R10">
        <v>0</v>
      </c>
      <c r="Y10" t="str">
        <v>Chisle</v>
      </c>
      <c r="Z10" t="b">
        <v>0</v>
      </c>
      <c r="AA10" t="b">
        <v>0</v>
      </c>
      <c r="AB10">
        <v>0</v>
      </c>
      <c r="AD10" t="b">
        <v>0</v>
      </c>
      <c r="AE10" t="b">
        <v>0</v>
      </c>
      <c r="AF10" t="b">
        <v>0</v>
      </c>
      <c r="AG10">
        <v>0</v>
      </c>
    </row>
    <row r="11" spans="1:34" x14ac:dyDescent="0.25">
      <c r="A11" t="s">
        <v>5</v>
      </c>
      <c r="B11" t="s">
        <v>22</v>
      </c>
      <c r="C11" t="s">
        <v>23</v>
      </c>
      <c r="D11" t="s">
        <v>18</v>
      </c>
      <c r="E11" s="6">
        <v>1.75</v>
      </c>
      <c r="F11" s="6">
        <v>7.5</v>
      </c>
      <c r="G11" s="6">
        <v>19.25</v>
      </c>
      <c r="H11" s="7">
        <v>5</v>
      </c>
      <c r="J11" t="str">
        <v>Tents and gazebos</v>
      </c>
      <c r="K11" t="str">
        <v>Screwdriver</v>
      </c>
      <c r="L11" t="str">
        <v>Ridgid</v>
      </c>
      <c r="M11" t="str">
        <v>6-inch</v>
      </c>
      <c r="N11" t="b">
        <v>1</v>
      </c>
      <c r="O11" t="b">
        <v>1</v>
      </c>
      <c r="P11" t="b">
        <v>1</v>
      </c>
      <c r="Q11" t="b">
        <v>1</v>
      </c>
      <c r="R11">
        <v>1</v>
      </c>
      <c r="Z11" t="b">
        <v>1</v>
      </c>
      <c r="AA11" t="b">
        <v>1</v>
      </c>
      <c r="AB11">
        <v>1</v>
      </c>
      <c r="AD11" t="b">
        <v>1</v>
      </c>
      <c r="AE11" t="b">
        <v>1</v>
      </c>
      <c r="AF11" t="b">
        <v>1</v>
      </c>
      <c r="AG11">
        <v>1</v>
      </c>
    </row>
    <row r="12" spans="1:34" x14ac:dyDescent="0.25">
      <c r="A12" t="s">
        <v>3</v>
      </c>
      <c r="B12" t="s">
        <v>72</v>
      </c>
      <c r="C12" t="s">
        <v>124</v>
      </c>
      <c r="D12" t="s">
        <v>73</v>
      </c>
      <c r="E12" s="6">
        <v>10.75</v>
      </c>
      <c r="F12" s="6">
        <v>38.75</v>
      </c>
      <c r="G12" s="6">
        <v>123</v>
      </c>
      <c r="H12" s="7">
        <v>2</v>
      </c>
      <c r="J12" t="str">
        <v>Carpet cleaning</v>
      </c>
      <c r="K12" t="str">
        <v>Powerless circular saw</v>
      </c>
      <c r="L12" t="str">
        <v>John Deere</v>
      </c>
      <c r="M12" t="str">
        <v>35D</v>
      </c>
      <c r="N12" t="b">
        <v>0</v>
      </c>
      <c r="O12" t="b">
        <v>0</v>
      </c>
      <c r="P12" t="b">
        <v>0</v>
      </c>
      <c r="Q12" t="b">
        <v>0</v>
      </c>
      <c r="R12">
        <v>0</v>
      </c>
      <c r="Z12" t="b">
        <v>0</v>
      </c>
      <c r="AA12" t="b">
        <v>0</v>
      </c>
      <c r="AB12">
        <v>0</v>
      </c>
      <c r="AD12" t="b">
        <v>0</v>
      </c>
      <c r="AE12" t="b">
        <v>0</v>
      </c>
      <c r="AF12" t="b">
        <v>0</v>
      </c>
      <c r="AG12">
        <v>0</v>
      </c>
    </row>
    <row r="13" spans="1:34" x14ac:dyDescent="0.25">
      <c r="A13" t="s">
        <v>24</v>
      </c>
      <c r="B13" t="s">
        <v>58</v>
      </c>
      <c r="C13" t="s">
        <v>25</v>
      </c>
      <c r="D13" t="s">
        <v>27</v>
      </c>
      <c r="E13" s="6">
        <v>35.75</v>
      </c>
      <c r="F13" s="6">
        <v>125</v>
      </c>
      <c r="G13" s="6">
        <v>375</v>
      </c>
      <c r="H13" s="7">
        <v>2</v>
      </c>
      <c r="J13" t="str">
        <v>Sanding and finishing</v>
      </c>
      <c r="K13" t="str">
        <v>Mini excavator</v>
      </c>
      <c r="L13" t="str">
        <v>Party Solutions</v>
      </c>
      <c r="M13" t="str">
        <v>310SL</v>
      </c>
      <c r="N13" t="b">
        <v>0</v>
      </c>
      <c r="O13" t="b">
        <v>0</v>
      </c>
      <c r="P13" t="b">
        <v>0</v>
      </c>
      <c r="Q13" t="b">
        <v>0</v>
      </c>
      <c r="R13">
        <v>0</v>
      </c>
      <c r="Z13" t="b">
        <v>0</v>
      </c>
      <c r="AA13" t="b">
        <v>0</v>
      </c>
      <c r="AB13">
        <v>0</v>
      </c>
      <c r="AD13" t="b">
        <v>0</v>
      </c>
      <c r="AE13" t="b">
        <v>0</v>
      </c>
      <c r="AF13" t="b">
        <v>0</v>
      </c>
      <c r="AG13">
        <v>0</v>
      </c>
    </row>
    <row r="14" spans="1:34" x14ac:dyDescent="0.25">
      <c r="A14" t="s">
        <v>24</v>
      </c>
      <c r="B14" t="s">
        <v>28</v>
      </c>
      <c r="C14" t="s">
        <v>25</v>
      </c>
      <c r="D14" t="s">
        <v>29</v>
      </c>
      <c r="E14" s="6">
        <v>42.5</v>
      </c>
      <c r="F14" s="6">
        <v>139</v>
      </c>
      <c r="G14" s="6">
        <v>408</v>
      </c>
      <c r="H14" s="7">
        <v>1</v>
      </c>
      <c r="J14" t="str">
        <v>Cleaning and polishing</v>
      </c>
      <c r="K14" t="str">
        <v>Backhoe</v>
      </c>
      <c r="L14" t="str">
        <v>CAT</v>
      </c>
      <c r="M14" t="str">
        <v>20V</v>
      </c>
      <c r="N14" t="b">
        <v>0</v>
      </c>
      <c r="O14" t="b">
        <v>0</v>
      </c>
      <c r="P14" t="b">
        <v>0</v>
      </c>
      <c r="Q14" t="b">
        <v>0</v>
      </c>
      <c r="R14">
        <v>0</v>
      </c>
      <c r="Z14" t="b">
        <v>0</v>
      </c>
      <c r="AA14" t="b">
        <v>0</v>
      </c>
      <c r="AB14">
        <v>0</v>
      </c>
      <c r="AD14" t="b">
        <v>0</v>
      </c>
      <c r="AE14" t="b">
        <v>0</v>
      </c>
      <c r="AF14" t="b">
        <v>0</v>
      </c>
      <c r="AG14">
        <v>0</v>
      </c>
    </row>
    <row r="15" spans="1:34" x14ac:dyDescent="0.25">
      <c r="A15" t="s">
        <v>3</v>
      </c>
      <c r="B15" t="s">
        <v>88</v>
      </c>
      <c r="C15" t="s">
        <v>10</v>
      </c>
      <c r="D15" t="s">
        <v>146</v>
      </c>
      <c r="E15" s="6">
        <v>9.75</v>
      </c>
      <c r="F15" s="6">
        <v>35.5</v>
      </c>
      <c r="G15" s="6">
        <v>113</v>
      </c>
      <c r="H15" s="7">
        <v>3</v>
      </c>
      <c r="J15" t="str">
        <v>Air compressors and nailers</v>
      </c>
      <c r="K15" t="str">
        <v>Cordless drill</v>
      </c>
      <c r="L15" t="str">
        <v>Cleveland Tools</v>
      </c>
      <c r="M15" t="str">
        <v>32' x 40'</v>
      </c>
      <c r="N15" t="b">
        <v>0</v>
      </c>
      <c r="O15" t="b">
        <v>0</v>
      </c>
      <c r="P15" t="b">
        <v>0</v>
      </c>
      <c r="Q15" t="b">
        <v>0</v>
      </c>
      <c r="R15">
        <v>0</v>
      </c>
      <c r="Z15" t="b">
        <v>0</v>
      </c>
      <c r="AA15" t="b">
        <v>0</v>
      </c>
      <c r="AB15">
        <v>0</v>
      </c>
      <c r="AD15" t="b">
        <v>0</v>
      </c>
      <c r="AE15" t="b">
        <v>0</v>
      </c>
      <c r="AF15" t="b">
        <v>0</v>
      </c>
      <c r="AG15">
        <v>0</v>
      </c>
    </row>
    <row r="16" spans="1:34" x14ac:dyDescent="0.25">
      <c r="A16" t="s">
        <v>31</v>
      </c>
      <c r="B16" t="s">
        <v>32</v>
      </c>
      <c r="C16" t="s">
        <v>33</v>
      </c>
      <c r="D16" t="s">
        <v>34</v>
      </c>
      <c r="E16" s="6" t="s">
        <v>151</v>
      </c>
      <c r="F16" s="6">
        <v>125</v>
      </c>
      <c r="G16" s="6">
        <v>425</v>
      </c>
      <c r="H16" s="7">
        <v>2</v>
      </c>
      <c r="J16" t="str">
        <v>Lawn and garden</v>
      </c>
      <c r="K16" t="str">
        <v>Canvas party tent</v>
      </c>
      <c r="L16" t="str">
        <v>MetalTech</v>
      </c>
      <c r="M16" t="str">
        <v>10' x 24'</v>
      </c>
      <c r="N16" t="b">
        <v>0</v>
      </c>
      <c r="O16" t="b">
        <v>0</v>
      </c>
      <c r="P16" t="b">
        <v>0</v>
      </c>
      <c r="Q16" t="b">
        <v>0</v>
      </c>
      <c r="R16">
        <v>0</v>
      </c>
      <c r="Z16" t="b">
        <v>0</v>
      </c>
      <c r="AA16" t="b">
        <v>0</v>
      </c>
      <c r="AB16">
        <v>0</v>
      </c>
      <c r="AD16" t="b">
        <v>0</v>
      </c>
      <c r="AE16" t="b">
        <v>0</v>
      </c>
      <c r="AF16" t="b">
        <v>0</v>
      </c>
      <c r="AG16">
        <v>0</v>
      </c>
    </row>
    <row r="17" spans="1:33" x14ac:dyDescent="0.25">
      <c r="A17" t="s">
        <v>31</v>
      </c>
      <c r="B17" t="s">
        <v>32</v>
      </c>
      <c r="C17" t="s">
        <v>33</v>
      </c>
      <c r="D17" t="s">
        <v>35</v>
      </c>
      <c r="E17" s="6" t="s">
        <v>151</v>
      </c>
      <c r="F17" s="6">
        <v>75</v>
      </c>
      <c r="G17" s="6">
        <v>230</v>
      </c>
      <c r="H17" s="7">
        <v>1</v>
      </c>
      <c r="J17" t="str">
        <v>Concrete and foundations</v>
      </c>
      <c r="K17" t="str">
        <v>Steam cleaner</v>
      </c>
      <c r="L17" t="str">
        <v>MK</v>
      </c>
      <c r="M17" t="str">
        <v>50' x 80'</v>
      </c>
      <c r="N17" t="b">
        <v>0</v>
      </c>
      <c r="O17" t="b">
        <v>0</v>
      </c>
      <c r="P17" t="b">
        <v>0</v>
      </c>
      <c r="Q17" t="b">
        <v>0</v>
      </c>
      <c r="R17">
        <v>0</v>
      </c>
      <c r="Z17" t="b">
        <v>0</v>
      </c>
      <c r="AA17" t="b">
        <v>0</v>
      </c>
      <c r="AB17">
        <v>0</v>
      </c>
      <c r="AD17" t="b">
        <v>0</v>
      </c>
      <c r="AE17" t="b">
        <v>0</v>
      </c>
      <c r="AF17" t="b">
        <v>0</v>
      </c>
      <c r="AG17">
        <v>0</v>
      </c>
    </row>
    <row r="18" spans="1:33" x14ac:dyDescent="0.25">
      <c r="A18" t="s">
        <v>31</v>
      </c>
      <c r="B18" t="s">
        <v>32</v>
      </c>
      <c r="C18" t="s">
        <v>33</v>
      </c>
      <c r="D18" t="s">
        <v>36</v>
      </c>
      <c r="E18" s="6" t="s">
        <v>151</v>
      </c>
      <c r="F18" s="6">
        <v>195</v>
      </c>
      <c r="G18" s="6">
        <v>645</v>
      </c>
      <c r="H18" s="7">
        <v>1</v>
      </c>
      <c r="J18" t="str">
        <v>Woodworking tools</v>
      </c>
      <c r="K18" t="str">
        <v>Drum sander</v>
      </c>
      <c r="L18" t="str">
        <v>Makita</v>
      </c>
      <c r="M18" t="str">
        <v>50G</v>
      </c>
      <c r="N18" t="b">
        <v>0</v>
      </c>
      <c r="O18" t="b">
        <v>0</v>
      </c>
      <c r="P18" t="b">
        <v>0</v>
      </c>
      <c r="Q18" t="b">
        <v>0</v>
      </c>
      <c r="R18">
        <v>0</v>
      </c>
      <c r="Z18" t="b">
        <v>0</v>
      </c>
      <c r="AA18" t="b">
        <v>0</v>
      </c>
      <c r="AB18">
        <v>0</v>
      </c>
      <c r="AD18" t="b">
        <v>0</v>
      </c>
      <c r="AE18" t="b">
        <v>0</v>
      </c>
      <c r="AF18" t="b">
        <v>0</v>
      </c>
      <c r="AG18">
        <v>0</v>
      </c>
    </row>
    <row r="19" spans="1:33" x14ac:dyDescent="0.25">
      <c r="A19" t="s">
        <v>24</v>
      </c>
      <c r="B19" t="s">
        <v>58</v>
      </c>
      <c r="C19" t="s">
        <v>25</v>
      </c>
      <c r="D19" t="s">
        <v>59</v>
      </c>
      <c r="E19" s="6">
        <v>54</v>
      </c>
      <c r="F19" s="6">
        <v>175</v>
      </c>
      <c r="G19" s="6">
        <v>525</v>
      </c>
      <c r="H19" s="7">
        <v>2</v>
      </c>
      <c r="J19" t="str">
        <v>Portable Power</v>
      </c>
      <c r="K19" t="str">
        <v>Metal scaffolding</v>
      </c>
      <c r="L19" t="str">
        <v>Milwaukee</v>
      </c>
      <c r="M19" t="str">
        <v>302 CR</v>
      </c>
      <c r="N19" t="b">
        <v>0</v>
      </c>
      <c r="O19" t="b">
        <v>0</v>
      </c>
      <c r="P19" t="b">
        <v>0</v>
      </c>
      <c r="Q19" t="b">
        <v>0</v>
      </c>
      <c r="R19">
        <v>0</v>
      </c>
      <c r="Z19" t="b">
        <v>0</v>
      </c>
      <c r="AA19" t="b">
        <v>0</v>
      </c>
      <c r="AB19">
        <v>0</v>
      </c>
      <c r="AD19" t="b">
        <v>0</v>
      </c>
      <c r="AE19" t="b">
        <v>0</v>
      </c>
      <c r="AF19" t="b">
        <v>0</v>
      </c>
      <c r="AG19">
        <v>0</v>
      </c>
    </row>
    <row r="20" spans="1:33" x14ac:dyDescent="0.25">
      <c r="A20" t="s">
        <v>24</v>
      </c>
      <c r="B20" t="s">
        <v>58</v>
      </c>
      <c r="C20" t="s">
        <v>57</v>
      </c>
      <c r="D20" t="s">
        <v>60</v>
      </c>
      <c r="E20" s="6">
        <v>42.5</v>
      </c>
      <c r="F20" s="6">
        <v>160</v>
      </c>
      <c r="G20" s="6">
        <v>475</v>
      </c>
      <c r="H20" s="7">
        <v>1</v>
      </c>
      <c r="K20" t="str">
        <v>Safety platform</v>
      </c>
      <c r="L20" t="str">
        <v>Harry's Tools</v>
      </c>
      <c r="M20" t="str">
        <v>705X</v>
      </c>
      <c r="N20" t="b">
        <v>0</v>
      </c>
      <c r="O20" t="b">
        <v>0</v>
      </c>
      <c r="P20" t="b">
        <v>0</v>
      </c>
      <c r="Q20" t="b">
        <v>0</v>
      </c>
      <c r="R20">
        <v>0</v>
      </c>
      <c r="Z20" t="b">
        <v>0</v>
      </c>
      <c r="AA20" t="b">
        <v>0</v>
      </c>
      <c r="AB20">
        <v>0</v>
      </c>
      <c r="AD20" t="b">
        <v>0</v>
      </c>
      <c r="AE20" t="b">
        <v>0</v>
      </c>
      <c r="AF20" t="b">
        <v>0</v>
      </c>
      <c r="AG20">
        <v>0</v>
      </c>
    </row>
    <row r="21" spans="1:33" x14ac:dyDescent="0.25">
      <c r="A21" t="s">
        <v>37</v>
      </c>
      <c r="B21" t="s">
        <v>38</v>
      </c>
      <c r="C21" t="s">
        <v>74</v>
      </c>
      <c r="D21" t="s">
        <v>149</v>
      </c>
      <c r="E21" s="6">
        <v>15.25</v>
      </c>
      <c r="F21" s="6">
        <v>45.75</v>
      </c>
      <c r="G21" s="6">
        <v>150</v>
      </c>
      <c r="H21" s="7">
        <v>2</v>
      </c>
      <c r="K21" t="str">
        <v>Tile saw</v>
      </c>
      <c r="L21" t="str">
        <v>Razor-Back</v>
      </c>
      <c r="M21" t="str">
        <v>355RP</v>
      </c>
      <c r="N21" t="b">
        <v>0</v>
      </c>
      <c r="O21" t="b">
        <v>0</v>
      </c>
      <c r="P21" t="b">
        <v>0</v>
      </c>
      <c r="Q21" t="b">
        <v>0</v>
      </c>
      <c r="R21">
        <v>0</v>
      </c>
      <c r="Z21" t="b">
        <v>0</v>
      </c>
      <c r="AA21" t="b">
        <v>0</v>
      </c>
      <c r="AB21">
        <v>0</v>
      </c>
      <c r="AD21" t="b">
        <v>0</v>
      </c>
      <c r="AE21" t="b">
        <v>0</v>
      </c>
      <c r="AF21" t="b">
        <v>0</v>
      </c>
      <c r="AG21">
        <v>0</v>
      </c>
    </row>
    <row r="22" spans="1:33" x14ac:dyDescent="0.25">
      <c r="A22" t="s">
        <v>39</v>
      </c>
      <c r="B22" t="s">
        <v>40</v>
      </c>
      <c r="C22" t="s">
        <v>74</v>
      </c>
      <c r="D22" t="s">
        <v>150</v>
      </c>
      <c r="E22" s="6">
        <v>16.75</v>
      </c>
      <c r="F22" s="6">
        <v>49.5</v>
      </c>
      <c r="G22" s="6">
        <v>165</v>
      </c>
      <c r="H22" s="7">
        <v>3</v>
      </c>
      <c r="K22" t="str">
        <v>Mid-size excavator</v>
      </c>
      <c r="L22" t="str">
        <v>Fiskars</v>
      </c>
      <c r="M22" t="str">
        <v>1 set, 5' x 7'</v>
      </c>
      <c r="N22" t="b">
        <v>0</v>
      </c>
      <c r="O22" t="b">
        <v>0</v>
      </c>
      <c r="P22" t="b">
        <v>0</v>
      </c>
      <c r="Q22" t="b">
        <v>0</v>
      </c>
      <c r="R22">
        <v>0</v>
      </c>
      <c r="Z22" t="b">
        <v>0</v>
      </c>
      <c r="AA22" t="b">
        <v>0</v>
      </c>
      <c r="AB22">
        <v>0</v>
      </c>
      <c r="AD22" t="b">
        <v>0</v>
      </c>
      <c r="AE22" t="b">
        <v>0</v>
      </c>
      <c r="AF22" t="b">
        <v>0</v>
      </c>
      <c r="AG22">
        <v>0</v>
      </c>
    </row>
    <row r="23" spans="1:33" x14ac:dyDescent="0.25">
      <c r="A23" t="s">
        <v>12</v>
      </c>
      <c r="B23" t="s">
        <v>41</v>
      </c>
      <c r="C23" t="s">
        <v>42</v>
      </c>
      <c r="D23" t="s">
        <v>43</v>
      </c>
      <c r="E23" s="6">
        <v>11.25</v>
      </c>
      <c r="F23" s="6">
        <v>35.25</v>
      </c>
      <c r="G23" s="6">
        <v>115</v>
      </c>
      <c r="H23" s="7">
        <v>12</v>
      </c>
      <c r="K23" t="str">
        <v>Large excavator</v>
      </c>
      <c r="L23" t="str">
        <v>Delta</v>
      </c>
      <c r="M23" t="str">
        <v>7'</v>
      </c>
      <c r="N23" t="b">
        <v>0</v>
      </c>
      <c r="O23" t="b">
        <v>0</v>
      </c>
      <c r="P23" t="b">
        <v>0</v>
      </c>
      <c r="Q23" t="b">
        <v>0</v>
      </c>
      <c r="R23">
        <v>0</v>
      </c>
      <c r="Z23" t="b">
        <v>0</v>
      </c>
      <c r="AA23" t="b">
        <v>0</v>
      </c>
      <c r="AB23">
        <v>0</v>
      </c>
      <c r="AD23" t="b">
        <v>0</v>
      </c>
      <c r="AE23" t="b">
        <v>0</v>
      </c>
      <c r="AF23" t="b">
        <v>0</v>
      </c>
      <c r="AG23">
        <v>0</v>
      </c>
    </row>
    <row r="24" spans="1:33" x14ac:dyDescent="0.25">
      <c r="A24" t="s">
        <v>12</v>
      </c>
      <c r="B24" t="s">
        <v>44</v>
      </c>
      <c r="C24" t="s">
        <v>42</v>
      </c>
      <c r="D24" t="s">
        <v>45</v>
      </c>
      <c r="E24" s="6">
        <v>9.75</v>
      </c>
      <c r="F24" s="6">
        <v>27.5</v>
      </c>
      <c r="G24" s="6">
        <v>95</v>
      </c>
      <c r="H24" s="7">
        <v>3</v>
      </c>
      <c r="K24" t="str">
        <v>Skid Steer</v>
      </c>
      <c r="L24" t="str">
        <v>Sun Fun</v>
      </c>
      <c r="M24" t="str">
        <v>7-inch</v>
      </c>
      <c r="N24" t="b">
        <v>0</v>
      </c>
      <c r="O24" t="b">
        <v>0</v>
      </c>
      <c r="P24" t="b">
        <v>0</v>
      </c>
      <c r="Q24" t="b">
        <v>0</v>
      </c>
      <c r="R24">
        <v>0</v>
      </c>
      <c r="Z24" t="b">
        <v>0</v>
      </c>
      <c r="AA24" t="b">
        <v>0</v>
      </c>
      <c r="AB24">
        <v>0</v>
      </c>
      <c r="AD24" t="b">
        <v>0</v>
      </c>
      <c r="AE24" t="b">
        <v>0</v>
      </c>
      <c r="AF24" t="b">
        <v>0</v>
      </c>
      <c r="AG24">
        <v>0</v>
      </c>
    </row>
    <row r="25" spans="1:33" x14ac:dyDescent="0.25">
      <c r="A25" t="s">
        <v>3</v>
      </c>
      <c r="B25" t="s">
        <v>46</v>
      </c>
      <c r="C25" t="s">
        <v>124</v>
      </c>
      <c r="D25" t="s">
        <v>49</v>
      </c>
      <c r="E25" s="6">
        <v>8.75</v>
      </c>
      <c r="F25" s="6">
        <v>34.5</v>
      </c>
      <c r="G25" s="6">
        <v>110</v>
      </c>
      <c r="H25" s="7">
        <v>1</v>
      </c>
      <c r="K25" t="str">
        <v>Palm sander</v>
      </c>
      <c r="L25" t="str">
        <v>Porter Cable</v>
      </c>
      <c r="M25" t="str">
        <v>10-inch</v>
      </c>
      <c r="N25" t="b">
        <v>0</v>
      </c>
      <c r="O25" t="b">
        <v>0</v>
      </c>
      <c r="P25" t="b">
        <v>0</v>
      </c>
      <c r="Q25" t="b">
        <v>0</v>
      </c>
      <c r="R25">
        <v>0</v>
      </c>
      <c r="Z25" t="b">
        <v>0</v>
      </c>
      <c r="AA25" t="b">
        <v>0</v>
      </c>
      <c r="AB25">
        <v>0</v>
      </c>
      <c r="AD25" t="b">
        <v>0</v>
      </c>
      <c r="AE25" t="b">
        <v>0</v>
      </c>
      <c r="AF25" t="b">
        <v>0</v>
      </c>
      <c r="AG25">
        <v>0</v>
      </c>
    </row>
    <row r="26" spans="1:33" x14ac:dyDescent="0.25">
      <c r="A26" t="s">
        <v>3</v>
      </c>
      <c r="B26" t="s">
        <v>46</v>
      </c>
      <c r="C26" t="s">
        <v>124</v>
      </c>
      <c r="D26" t="s">
        <v>50</v>
      </c>
      <c r="E26" s="6">
        <v>10.25</v>
      </c>
      <c r="F26" s="6">
        <v>38.75</v>
      </c>
      <c r="G26" s="6">
        <v>129.75</v>
      </c>
      <c r="H26" s="7">
        <v>2</v>
      </c>
      <c r="K26" t="str">
        <v>Vacuum</v>
      </c>
      <c r="L26" t="str">
        <v>Husky</v>
      </c>
      <c r="M26" t="str">
        <v>8-inch</v>
      </c>
      <c r="N26" t="b">
        <v>0</v>
      </c>
      <c r="O26" t="b">
        <v>0</v>
      </c>
      <c r="P26" t="b">
        <v>0</v>
      </c>
      <c r="Q26" t="b">
        <v>0</v>
      </c>
      <c r="R26">
        <v>0</v>
      </c>
      <c r="Z26" t="b">
        <v>0</v>
      </c>
      <c r="AA26" t="b">
        <v>0</v>
      </c>
      <c r="AB26">
        <v>0</v>
      </c>
      <c r="AD26" t="b">
        <v>0</v>
      </c>
      <c r="AE26" t="b">
        <v>0</v>
      </c>
      <c r="AF26" t="b">
        <v>0</v>
      </c>
      <c r="AG26">
        <v>0</v>
      </c>
    </row>
    <row r="27" spans="1:33" x14ac:dyDescent="0.25">
      <c r="A27" t="s">
        <v>3</v>
      </c>
      <c r="B27" t="s">
        <v>46</v>
      </c>
      <c r="C27" t="s">
        <v>51</v>
      </c>
      <c r="D27" t="s">
        <v>52</v>
      </c>
      <c r="E27" s="6">
        <v>9.75</v>
      </c>
      <c r="F27" s="6">
        <v>36.5</v>
      </c>
      <c r="G27" s="6">
        <v>120</v>
      </c>
      <c r="H27" s="7">
        <v>1</v>
      </c>
      <c r="K27" t="str">
        <v>Belt sander</v>
      </c>
      <c r="L27" t="str">
        <v>Ryobi</v>
      </c>
      <c r="M27" t="str">
        <v>75G</v>
      </c>
      <c r="N27" t="b">
        <v>0</v>
      </c>
      <c r="O27" t="b">
        <v>0</v>
      </c>
      <c r="P27" t="b">
        <v>0</v>
      </c>
      <c r="Q27" t="b">
        <v>0</v>
      </c>
      <c r="R27">
        <v>0</v>
      </c>
      <c r="Z27" t="b">
        <v>0</v>
      </c>
      <c r="AA27" t="b">
        <v>0</v>
      </c>
      <c r="AB27">
        <v>0</v>
      </c>
      <c r="AD27" t="b">
        <v>0</v>
      </c>
      <c r="AE27" t="b">
        <v>0</v>
      </c>
      <c r="AF27" t="b">
        <v>0</v>
      </c>
      <c r="AG27">
        <v>0</v>
      </c>
    </row>
    <row r="28" spans="1:33" x14ac:dyDescent="0.25">
      <c r="A28" t="s">
        <v>24</v>
      </c>
      <c r="B28" t="s">
        <v>53</v>
      </c>
      <c r="C28" t="s">
        <v>25</v>
      </c>
      <c r="D28" t="s">
        <v>54</v>
      </c>
      <c r="E28" s="6">
        <v>85</v>
      </c>
      <c r="F28" s="6">
        <v>250</v>
      </c>
      <c r="G28" s="6">
        <v>875</v>
      </c>
      <c r="H28" s="7">
        <v>1</v>
      </c>
      <c r="K28" t="str">
        <v>Air compressor w/ hose</v>
      </c>
      <c r="L28" t="str">
        <v>Toro</v>
      </c>
      <c r="M28" t="str">
        <v>670G</v>
      </c>
      <c r="N28" t="b">
        <v>0</v>
      </c>
      <c r="O28" t="b">
        <v>0</v>
      </c>
      <c r="P28" t="b">
        <v>0</v>
      </c>
      <c r="Q28" t="b">
        <v>0</v>
      </c>
      <c r="R28">
        <v>0</v>
      </c>
      <c r="Z28" t="b">
        <v>0</v>
      </c>
      <c r="AA28" t="b">
        <v>0</v>
      </c>
      <c r="AB28">
        <v>0</v>
      </c>
      <c r="AD28" t="b">
        <v>0</v>
      </c>
      <c r="AE28" t="b">
        <v>0</v>
      </c>
      <c r="AF28" t="b">
        <v>0</v>
      </c>
      <c r="AG28">
        <v>0</v>
      </c>
    </row>
    <row r="29" spans="1:33" x14ac:dyDescent="0.25">
      <c r="A29" t="s">
        <v>24</v>
      </c>
      <c r="B29" t="s">
        <v>55</v>
      </c>
      <c r="C29" t="s">
        <v>25</v>
      </c>
      <c r="D29" t="s">
        <v>56</v>
      </c>
      <c r="E29" s="6">
        <v>125</v>
      </c>
      <c r="F29" s="6">
        <v>375</v>
      </c>
      <c r="G29" s="6">
        <v>1175</v>
      </c>
      <c r="H29" s="7">
        <v>1</v>
      </c>
      <c r="K29" t="str">
        <v>Floor polisher</v>
      </c>
      <c r="L29" t="str">
        <v>Cub</v>
      </c>
      <c r="M29" t="str">
        <v>246D3</v>
      </c>
      <c r="N29" t="b">
        <v>0</v>
      </c>
      <c r="O29" t="b">
        <v>0</v>
      </c>
      <c r="P29" t="b">
        <v>0</v>
      </c>
      <c r="Q29" t="b">
        <v>0</v>
      </c>
      <c r="R29">
        <v>0</v>
      </c>
      <c r="Z29" t="b">
        <v>0</v>
      </c>
      <c r="AA29" t="b">
        <v>0</v>
      </c>
      <c r="AB29">
        <v>0</v>
      </c>
      <c r="AD29" t="b">
        <v>0</v>
      </c>
      <c r="AE29" t="b">
        <v>0</v>
      </c>
      <c r="AF29" t="b">
        <v>0</v>
      </c>
      <c r="AG29">
        <v>0</v>
      </c>
    </row>
    <row r="30" spans="1:33" x14ac:dyDescent="0.25">
      <c r="A30" t="s">
        <v>24</v>
      </c>
      <c r="B30" t="s">
        <v>61</v>
      </c>
      <c r="C30" t="s">
        <v>57</v>
      </c>
      <c r="D30" t="s">
        <v>62</v>
      </c>
      <c r="E30" s="6">
        <v>45</v>
      </c>
      <c r="F30" s="6">
        <v>175</v>
      </c>
      <c r="G30" s="6">
        <v>525</v>
      </c>
      <c r="H30" s="7">
        <v>2</v>
      </c>
      <c r="K30" t="str">
        <v>Right angle drill</v>
      </c>
      <c r="L30" t="str">
        <v>ACME</v>
      </c>
      <c r="M30" t="str">
        <v>3-amp</v>
      </c>
      <c r="N30" t="b">
        <v>0</v>
      </c>
      <c r="O30" t="b">
        <v>0</v>
      </c>
      <c r="P30" t="b">
        <v>0</v>
      </c>
      <c r="Q30" t="b">
        <v>0</v>
      </c>
      <c r="R30">
        <v>0</v>
      </c>
      <c r="Z30" t="b">
        <v>0</v>
      </c>
      <c r="AA30" t="b">
        <v>0</v>
      </c>
      <c r="AB30">
        <v>0</v>
      </c>
      <c r="AD30" t="b">
        <v>0</v>
      </c>
      <c r="AE30" t="b">
        <v>0</v>
      </c>
      <c r="AF30" t="b">
        <v>0</v>
      </c>
      <c r="AG30">
        <v>0</v>
      </c>
    </row>
    <row r="31" spans="1:33" x14ac:dyDescent="0.25">
      <c r="A31" t="s">
        <v>39</v>
      </c>
      <c r="B31" t="s">
        <v>65</v>
      </c>
      <c r="C31" t="s">
        <v>10</v>
      </c>
      <c r="D31" t="s">
        <v>139</v>
      </c>
      <c r="E31" s="6">
        <v>7.25</v>
      </c>
      <c r="F31" s="6">
        <v>29.75</v>
      </c>
      <c r="G31" s="6">
        <v>87.5</v>
      </c>
      <c r="H31" s="7">
        <v>3</v>
      </c>
      <c r="K31" t="str">
        <v>Floor sander</v>
      </c>
      <c r="L31" t="str">
        <v>Werner</v>
      </c>
      <c r="M31" t="str">
        <v>54V</v>
      </c>
      <c r="N31" t="b">
        <v>0</v>
      </c>
      <c r="O31" t="b">
        <v>0</v>
      </c>
      <c r="P31" t="b">
        <v>0</v>
      </c>
      <c r="Q31" t="b">
        <v>0</v>
      </c>
      <c r="R31">
        <v>0</v>
      </c>
      <c r="Z31" t="b">
        <v>0</v>
      </c>
      <c r="AA31" t="b">
        <v>0</v>
      </c>
      <c r="AB31">
        <v>0</v>
      </c>
      <c r="AD31" t="b">
        <v>0</v>
      </c>
      <c r="AE31" t="b">
        <v>0</v>
      </c>
      <c r="AF31" t="b">
        <v>0</v>
      </c>
      <c r="AG31">
        <v>0</v>
      </c>
    </row>
    <row r="32" spans="1:33" x14ac:dyDescent="0.25">
      <c r="A32" t="s">
        <v>63</v>
      </c>
      <c r="B32" t="s">
        <v>64</v>
      </c>
      <c r="C32" t="s">
        <v>74</v>
      </c>
      <c r="D32" t="s">
        <v>140</v>
      </c>
      <c r="E32" s="6">
        <v>8.75</v>
      </c>
      <c r="F32" s="6">
        <v>33.5</v>
      </c>
      <c r="G32" s="6">
        <v>105</v>
      </c>
      <c r="H32" s="7">
        <v>2</v>
      </c>
      <c r="K32" t="str">
        <v>Snow shovel</v>
      </c>
      <c r="L32" t="str">
        <v>Gorilla Ladders</v>
      </c>
      <c r="M32" t="str">
        <v>9903 8.8-amp</v>
      </c>
      <c r="N32" t="b">
        <v>0</v>
      </c>
      <c r="O32" t="b">
        <v>0</v>
      </c>
      <c r="P32" t="b">
        <v>0</v>
      </c>
      <c r="Q32" t="b">
        <v>0</v>
      </c>
      <c r="R32">
        <v>0</v>
      </c>
      <c r="Z32" t="b">
        <v>0</v>
      </c>
      <c r="AA32" t="b">
        <v>0</v>
      </c>
      <c r="AB32">
        <v>0</v>
      </c>
      <c r="AD32" t="b">
        <v>0</v>
      </c>
      <c r="AE32" t="b">
        <v>0</v>
      </c>
      <c r="AF32" t="b">
        <v>0</v>
      </c>
      <c r="AG32">
        <v>0</v>
      </c>
    </row>
    <row r="33" spans="1:33" x14ac:dyDescent="0.25">
      <c r="A33" t="s">
        <v>39</v>
      </c>
      <c r="B33" t="s">
        <v>85</v>
      </c>
      <c r="C33" t="s">
        <v>83</v>
      </c>
      <c r="D33" t="s">
        <v>141</v>
      </c>
      <c r="E33" s="6">
        <v>12.5</v>
      </c>
      <c r="F33" s="6">
        <v>38.75</v>
      </c>
      <c r="G33" s="6">
        <v>125</v>
      </c>
      <c r="H33" s="7">
        <v>2</v>
      </c>
      <c r="K33" t="str">
        <v>Finish nailer</v>
      </c>
      <c r="M33" t="str">
        <v>6 gal</v>
      </c>
      <c r="N33" t="b">
        <v>0</v>
      </c>
      <c r="O33" t="b">
        <v>0</v>
      </c>
      <c r="P33" t="b">
        <v>0</v>
      </c>
      <c r="Q33" t="b">
        <v>0</v>
      </c>
      <c r="R33">
        <v>0</v>
      </c>
      <c r="Z33" t="b">
        <v>0</v>
      </c>
      <c r="AA33" t="b">
        <v>0</v>
      </c>
      <c r="AB33">
        <v>0</v>
      </c>
      <c r="AD33" t="b">
        <v>0</v>
      </c>
      <c r="AE33" t="b">
        <v>0</v>
      </c>
      <c r="AF33" t="b">
        <v>0</v>
      </c>
      <c r="AG33">
        <v>0</v>
      </c>
    </row>
    <row r="34" spans="1:33" x14ac:dyDescent="0.25">
      <c r="A34" t="s">
        <v>69</v>
      </c>
      <c r="B34" t="s">
        <v>94</v>
      </c>
      <c r="C34" t="s">
        <v>10</v>
      </c>
      <c r="D34" t="s">
        <v>91</v>
      </c>
      <c r="E34" s="6">
        <v>13.5</v>
      </c>
      <c r="F34" s="6">
        <v>42.5</v>
      </c>
      <c r="G34" s="6">
        <v>130</v>
      </c>
      <c r="H34" s="7">
        <v>3</v>
      </c>
      <c r="K34" t="str">
        <v>Brad nailer</v>
      </c>
      <c r="M34" t="str">
        <v>23D</v>
      </c>
      <c r="N34" t="b">
        <v>0</v>
      </c>
      <c r="O34" t="b">
        <v>0</v>
      </c>
      <c r="P34" t="b">
        <v>0</v>
      </c>
      <c r="Q34" t="b">
        <v>0</v>
      </c>
      <c r="R34">
        <v>0</v>
      </c>
      <c r="Z34" t="b">
        <v>0</v>
      </c>
      <c r="AA34" t="b">
        <v>0</v>
      </c>
      <c r="AB34">
        <v>0</v>
      </c>
      <c r="AD34" t="b">
        <v>0</v>
      </c>
      <c r="AE34" t="b">
        <v>0</v>
      </c>
      <c r="AF34" t="b">
        <v>0</v>
      </c>
      <c r="AG34">
        <v>0</v>
      </c>
    </row>
    <row r="35" spans="1:33" x14ac:dyDescent="0.25">
      <c r="A35" t="s">
        <v>63</v>
      </c>
      <c r="B35" t="s">
        <v>67</v>
      </c>
      <c r="C35" t="s">
        <v>74</v>
      </c>
      <c r="D35" t="s">
        <v>142</v>
      </c>
      <c r="E35" s="6">
        <v>13.75</v>
      </c>
      <c r="F35" s="6">
        <v>41.75</v>
      </c>
      <c r="G35" s="6">
        <v>125</v>
      </c>
      <c r="H35" s="7">
        <v>1</v>
      </c>
      <c r="K35" t="str">
        <v>Framing nailer</v>
      </c>
      <c r="M35" t="str">
        <v>Hole Hawg</v>
      </c>
      <c r="N35" t="b">
        <v>0</v>
      </c>
      <c r="O35" t="b">
        <v>0</v>
      </c>
      <c r="P35" t="b">
        <v>0</v>
      </c>
      <c r="Q35" t="b">
        <v>0</v>
      </c>
      <c r="R35">
        <v>0</v>
      </c>
      <c r="Z35" t="b">
        <v>0</v>
      </c>
      <c r="AA35" t="b">
        <v>0</v>
      </c>
      <c r="AB35">
        <v>0</v>
      </c>
      <c r="AD35" t="b">
        <v>0</v>
      </c>
      <c r="AE35" t="b">
        <v>0</v>
      </c>
      <c r="AF35" t="b">
        <v>0</v>
      </c>
      <c r="AG35">
        <v>0</v>
      </c>
    </row>
    <row r="36" spans="1:33" x14ac:dyDescent="0.25">
      <c r="A36" t="s">
        <v>3</v>
      </c>
      <c r="B36" t="s">
        <v>89</v>
      </c>
      <c r="C36" t="s">
        <v>70</v>
      </c>
      <c r="D36" t="s">
        <v>90</v>
      </c>
      <c r="E36" s="6">
        <v>12.5</v>
      </c>
      <c r="F36" s="6">
        <v>36.75</v>
      </c>
      <c r="G36" s="6">
        <v>117.5</v>
      </c>
      <c r="H36" s="7">
        <v>1</v>
      </c>
      <c r="K36" t="str">
        <v>Concrete form</v>
      </c>
      <c r="M36" t="str">
        <v>87S</v>
      </c>
      <c r="N36" t="b">
        <v>0</v>
      </c>
      <c r="O36" t="b">
        <v>0</v>
      </c>
      <c r="P36" t="b">
        <v>0</v>
      </c>
      <c r="Q36" t="b">
        <v>0</v>
      </c>
      <c r="R36">
        <v>0</v>
      </c>
      <c r="Z36" t="b">
        <v>0</v>
      </c>
      <c r="AA36" t="b">
        <v>0</v>
      </c>
      <c r="AB36">
        <v>0</v>
      </c>
      <c r="AD36" t="b">
        <v>0</v>
      </c>
      <c r="AE36" t="b">
        <v>0</v>
      </c>
      <c r="AF36" t="b">
        <v>0</v>
      </c>
      <c r="AG36">
        <v>0</v>
      </c>
    </row>
    <row r="37" spans="1:33" x14ac:dyDescent="0.25">
      <c r="A37" t="s">
        <v>39</v>
      </c>
      <c r="B37" t="s">
        <v>66</v>
      </c>
      <c r="C37" t="s">
        <v>74</v>
      </c>
      <c r="D37" t="s">
        <v>143</v>
      </c>
      <c r="E37" s="6">
        <v>15.5</v>
      </c>
      <c r="F37" s="6">
        <v>44.75</v>
      </c>
      <c r="G37" s="6">
        <v>132</v>
      </c>
      <c r="H37" s="7">
        <v>2</v>
      </c>
      <c r="K37" t="str">
        <v>Concrete stakes</v>
      </c>
      <c r="M37" t="str">
        <v>24"</v>
      </c>
      <c r="N37" t="b">
        <v>0</v>
      </c>
      <c r="O37" t="b">
        <v>0</v>
      </c>
      <c r="P37" t="b">
        <v>0</v>
      </c>
      <c r="Q37" t="b">
        <v>0</v>
      </c>
      <c r="R37">
        <v>0</v>
      </c>
      <c r="Z37" t="b">
        <v>0</v>
      </c>
      <c r="AA37" t="b">
        <v>0</v>
      </c>
      <c r="AB37">
        <v>0</v>
      </c>
      <c r="AD37" t="b">
        <v>0</v>
      </c>
      <c r="AE37" t="b">
        <v>0</v>
      </c>
      <c r="AF37" t="b">
        <v>0</v>
      </c>
      <c r="AG37">
        <v>0</v>
      </c>
    </row>
    <row r="38" spans="1:33" x14ac:dyDescent="0.25">
      <c r="A38" t="s">
        <v>79</v>
      </c>
      <c r="B38" t="s">
        <v>126</v>
      </c>
      <c r="C38" t="s">
        <v>127</v>
      </c>
      <c r="D38" t="s">
        <v>128</v>
      </c>
      <c r="E38" s="6">
        <v>7.5</v>
      </c>
      <c r="F38" s="6">
        <v>23.75</v>
      </c>
      <c r="G38" s="6">
        <v>65</v>
      </c>
      <c r="H38" s="7">
        <v>5</v>
      </c>
      <c r="K38" t="str">
        <v>Round-point digging shovel</v>
      </c>
      <c r="M38" t="str">
        <v>18-gauge</v>
      </c>
      <c r="N38" t="b">
        <v>0</v>
      </c>
      <c r="O38" t="b">
        <v>0</v>
      </c>
      <c r="P38" t="b">
        <v>0</v>
      </c>
      <c r="Q38" t="b">
        <v>0</v>
      </c>
      <c r="R38">
        <v>0</v>
      </c>
      <c r="Z38" t="b">
        <v>0</v>
      </c>
      <c r="AA38" t="b">
        <v>0</v>
      </c>
      <c r="AB38">
        <v>0</v>
      </c>
      <c r="AD38" t="b">
        <v>0</v>
      </c>
      <c r="AE38" t="b">
        <v>0</v>
      </c>
      <c r="AF38" t="b">
        <v>0</v>
      </c>
      <c r="AG38">
        <v>0</v>
      </c>
    </row>
    <row r="39" spans="1:33" x14ac:dyDescent="0.25">
      <c r="A39" t="s">
        <v>69</v>
      </c>
      <c r="B39" t="s">
        <v>145</v>
      </c>
      <c r="C39" t="s">
        <v>70</v>
      </c>
      <c r="D39" t="s">
        <v>177</v>
      </c>
      <c r="E39" s="6">
        <v>12.5</v>
      </c>
      <c r="F39" s="6">
        <v>35.25</v>
      </c>
      <c r="G39" s="6">
        <v>97.5</v>
      </c>
      <c r="H39" s="7">
        <v>1</v>
      </c>
      <c r="K39" t="str">
        <v>Extension cord</v>
      </c>
      <c r="M39" t="str">
        <v>M18 FUEL</v>
      </c>
      <c r="N39" t="b">
        <v>0</v>
      </c>
      <c r="O39" t="b">
        <v>0</v>
      </c>
      <c r="P39" t="b">
        <v>0</v>
      </c>
      <c r="Q39" t="b">
        <v>0</v>
      </c>
      <c r="R39">
        <v>0</v>
      </c>
      <c r="Z39" t="b">
        <v>0</v>
      </c>
      <c r="AA39" t="b">
        <v>0</v>
      </c>
      <c r="AB39">
        <v>0</v>
      </c>
      <c r="AD39" t="b">
        <v>0</v>
      </c>
      <c r="AE39" t="b">
        <v>0</v>
      </c>
      <c r="AF39" t="b">
        <v>0</v>
      </c>
      <c r="AG39">
        <v>0</v>
      </c>
    </row>
    <row r="40" spans="1:33" x14ac:dyDescent="0.25">
      <c r="A40" t="s">
        <v>69</v>
      </c>
      <c r="B40" t="s">
        <v>68</v>
      </c>
      <c r="C40" t="s">
        <v>10</v>
      </c>
      <c r="D40" t="s">
        <v>146</v>
      </c>
      <c r="E40" s="6">
        <v>11.75</v>
      </c>
      <c r="F40" s="6">
        <v>33.75</v>
      </c>
      <c r="G40" s="6">
        <v>92.5</v>
      </c>
      <c r="H40" s="7">
        <v>2</v>
      </c>
      <c r="K40" t="str">
        <v>Square-point shovel</v>
      </c>
      <c r="M40" t="str">
        <v>2' x 4'</v>
      </c>
      <c r="N40" t="b">
        <v>0</v>
      </c>
      <c r="O40" t="b">
        <v>0</v>
      </c>
      <c r="P40" t="b">
        <v>0</v>
      </c>
      <c r="Q40" t="b">
        <v>0</v>
      </c>
      <c r="R40">
        <v>0</v>
      </c>
      <c r="Z40" t="b">
        <v>0</v>
      </c>
      <c r="AA40" t="b">
        <v>0</v>
      </c>
      <c r="AB40">
        <v>0</v>
      </c>
      <c r="AD40" t="b">
        <v>0</v>
      </c>
      <c r="AE40" t="b">
        <v>0</v>
      </c>
      <c r="AF40" t="b">
        <v>0</v>
      </c>
      <c r="AG40">
        <v>0</v>
      </c>
    </row>
    <row r="41" spans="1:33" x14ac:dyDescent="0.25">
      <c r="A41" t="s">
        <v>69</v>
      </c>
      <c r="B41" t="s">
        <v>71</v>
      </c>
      <c r="C41" t="s">
        <v>70</v>
      </c>
      <c r="D41" t="s">
        <v>144</v>
      </c>
      <c r="E41" s="6">
        <v>14.5</v>
      </c>
      <c r="F41" s="6">
        <v>40.75</v>
      </c>
      <c r="G41" s="6">
        <v>125</v>
      </c>
      <c r="H41" s="7">
        <v>1</v>
      </c>
      <c r="K41" t="str">
        <v>Jointer</v>
      </c>
      <c r="M41" t="str">
        <v>Generic</v>
      </c>
      <c r="N41" t="b">
        <v>0</v>
      </c>
      <c r="O41" t="b">
        <v>0</v>
      </c>
      <c r="P41" t="b">
        <v>0</v>
      </c>
      <c r="Q41" t="b">
        <v>0</v>
      </c>
      <c r="R41">
        <v>0</v>
      </c>
      <c r="Z41" t="b">
        <v>0</v>
      </c>
      <c r="AA41" t="b">
        <v>0</v>
      </c>
      <c r="AB41">
        <v>0</v>
      </c>
      <c r="AD41" t="b">
        <v>0</v>
      </c>
      <c r="AE41" t="b">
        <v>0</v>
      </c>
      <c r="AF41" t="b">
        <v>0</v>
      </c>
      <c r="AG41">
        <v>0</v>
      </c>
    </row>
    <row r="42" spans="1:33" x14ac:dyDescent="0.25">
      <c r="A42" t="s">
        <v>69</v>
      </c>
      <c r="B42" t="s">
        <v>71</v>
      </c>
      <c r="C42" t="s">
        <v>10</v>
      </c>
      <c r="D42" t="s">
        <v>146</v>
      </c>
      <c r="E42" s="6">
        <v>13.75</v>
      </c>
      <c r="F42" s="6">
        <v>37.75</v>
      </c>
      <c r="G42" s="6">
        <v>120</v>
      </c>
      <c r="H42" s="7">
        <v>1</v>
      </c>
      <c r="K42" t="str">
        <v>Solar Panel</v>
      </c>
      <c r="M42" t="str">
        <v>48"</v>
      </c>
      <c r="N42" t="b">
        <v>0</v>
      </c>
      <c r="O42" t="b">
        <v>0</v>
      </c>
      <c r="P42" t="b">
        <v>0</v>
      </c>
      <c r="Q42" t="b">
        <v>0</v>
      </c>
      <c r="R42">
        <v>0</v>
      </c>
      <c r="Z42" t="b">
        <v>0</v>
      </c>
      <c r="AA42" t="b">
        <v>0</v>
      </c>
      <c r="AB42">
        <v>0</v>
      </c>
      <c r="AD42" t="b">
        <v>0</v>
      </c>
      <c r="AE42" t="b">
        <v>0</v>
      </c>
      <c r="AF42" t="b">
        <v>0</v>
      </c>
      <c r="AG42">
        <v>0</v>
      </c>
    </row>
    <row r="43" spans="1:33" x14ac:dyDescent="0.25">
      <c r="A43" t="s">
        <v>75</v>
      </c>
      <c r="B43" t="s">
        <v>76</v>
      </c>
      <c r="C43" t="s">
        <v>74</v>
      </c>
      <c r="D43" t="s">
        <v>77</v>
      </c>
      <c r="E43" s="6">
        <v>2.5</v>
      </c>
      <c r="F43" s="6">
        <v>8.25</v>
      </c>
      <c r="G43" s="6">
        <v>22.5</v>
      </c>
      <c r="H43" s="7">
        <v>150</v>
      </c>
      <c r="K43" t="str">
        <v>Handheld grinder</v>
      </c>
      <c r="M43" t="str">
        <v>50'</v>
      </c>
      <c r="N43" t="b">
        <v>0</v>
      </c>
      <c r="O43" t="b">
        <v>0</v>
      </c>
      <c r="P43" t="b">
        <v>0</v>
      </c>
      <c r="Q43" t="b">
        <v>0</v>
      </c>
      <c r="R43">
        <v>0</v>
      </c>
      <c r="Z43" t="b">
        <v>0</v>
      </c>
      <c r="AA43" t="b">
        <v>0</v>
      </c>
      <c r="AB43">
        <v>0</v>
      </c>
      <c r="AD43" t="b">
        <v>0</v>
      </c>
      <c r="AE43" t="b">
        <v>0</v>
      </c>
      <c r="AF43" t="b">
        <v>0</v>
      </c>
      <c r="AG43">
        <v>0</v>
      </c>
    </row>
    <row r="44" spans="1:33" x14ac:dyDescent="0.25">
      <c r="A44" t="s">
        <v>75</v>
      </c>
      <c r="B44" t="s">
        <v>78</v>
      </c>
      <c r="C44" t="s">
        <v>74</v>
      </c>
      <c r="D44" t="s">
        <v>152</v>
      </c>
      <c r="E44" s="6" t="s">
        <v>151</v>
      </c>
      <c r="F44" s="6">
        <v>1.25</v>
      </c>
      <c r="G44" s="6">
        <v>4.25</v>
      </c>
      <c r="H44" s="7">
        <v>232</v>
      </c>
      <c r="K44" t="str">
        <v>Impact driver - cordless</v>
      </c>
      <c r="M44" t="str">
        <v>12-amp/6"</v>
      </c>
      <c r="N44" t="b">
        <v>0</v>
      </c>
      <c r="O44" t="b">
        <v>0</v>
      </c>
      <c r="P44" t="b">
        <v>0</v>
      </c>
      <c r="Q44" t="b">
        <v>0</v>
      </c>
      <c r="R44">
        <v>0</v>
      </c>
      <c r="Z44" t="b">
        <v>0</v>
      </c>
      <c r="AA44" t="b">
        <v>0</v>
      </c>
      <c r="AB44">
        <v>0</v>
      </c>
      <c r="AD44" t="b">
        <v>0</v>
      </c>
      <c r="AE44" t="b">
        <v>0</v>
      </c>
      <c r="AF44" t="b">
        <v>0</v>
      </c>
      <c r="AG44">
        <v>0</v>
      </c>
    </row>
    <row r="45" spans="1:33" x14ac:dyDescent="0.25">
      <c r="A45" t="s">
        <v>79</v>
      </c>
      <c r="B45" t="s">
        <v>111</v>
      </c>
      <c r="C45" t="s">
        <v>112</v>
      </c>
      <c r="D45" t="s">
        <v>113</v>
      </c>
      <c r="E45" s="6">
        <v>10.5</v>
      </c>
      <c r="F45" s="6">
        <v>35.75</v>
      </c>
      <c r="G45" s="6">
        <v>95.25</v>
      </c>
      <c r="H45" s="7">
        <v>2</v>
      </c>
      <c r="K45" t="str">
        <v>Router</v>
      </c>
      <c r="M45" t="str">
        <v>2 sq. meter</v>
      </c>
      <c r="N45" t="b">
        <v>0</v>
      </c>
      <c r="O45" t="b">
        <v>0</v>
      </c>
      <c r="P45" t="b">
        <v>0</v>
      </c>
      <c r="Q45" t="b">
        <v>0</v>
      </c>
      <c r="R45">
        <v>0</v>
      </c>
      <c r="Z45" t="b">
        <v>0</v>
      </c>
      <c r="AA45" t="b">
        <v>0</v>
      </c>
      <c r="AB45">
        <v>0</v>
      </c>
      <c r="AD45" t="b">
        <v>0</v>
      </c>
      <c r="AE45" t="b">
        <v>0</v>
      </c>
      <c r="AF45" t="b">
        <v>0</v>
      </c>
      <c r="AG45">
        <v>0</v>
      </c>
    </row>
    <row r="46" spans="1:33" x14ac:dyDescent="0.25">
      <c r="A46" t="s">
        <v>79</v>
      </c>
      <c r="B46" t="s">
        <v>111</v>
      </c>
      <c r="C46" t="s">
        <v>114</v>
      </c>
      <c r="D46" t="s">
        <v>113</v>
      </c>
      <c r="E46" s="6">
        <v>8.75</v>
      </c>
      <c r="F46" s="6">
        <v>32.5</v>
      </c>
      <c r="G46" s="6">
        <v>89.75</v>
      </c>
      <c r="H46" s="7">
        <v>1</v>
      </c>
      <c r="K46" t="str">
        <v>Router w/ table</v>
      </c>
      <c r="M46" t="str">
        <v>7.5-amp</v>
      </c>
      <c r="N46" t="b">
        <v>0</v>
      </c>
      <c r="O46" t="b">
        <v>0</v>
      </c>
      <c r="P46" t="b">
        <v>0</v>
      </c>
      <c r="Q46" t="b">
        <v>0</v>
      </c>
      <c r="R46">
        <v>0</v>
      </c>
      <c r="Z46" t="b">
        <v>0</v>
      </c>
      <c r="AA46" t="b">
        <v>0</v>
      </c>
      <c r="AB46">
        <v>0</v>
      </c>
      <c r="AD46" t="b">
        <v>0</v>
      </c>
      <c r="AE46" t="b">
        <v>0</v>
      </c>
      <c r="AF46" t="b">
        <v>0</v>
      </c>
      <c r="AG46">
        <v>0</v>
      </c>
    </row>
    <row r="47" spans="1:33" x14ac:dyDescent="0.25">
      <c r="A47" t="s">
        <v>3</v>
      </c>
      <c r="B47" t="s">
        <v>99</v>
      </c>
      <c r="C47" t="s">
        <v>74</v>
      </c>
      <c r="D47" t="s">
        <v>101</v>
      </c>
      <c r="E47" s="6">
        <v>3.5</v>
      </c>
      <c r="F47" s="6">
        <v>10</v>
      </c>
      <c r="G47" s="6">
        <v>32.25</v>
      </c>
      <c r="H47" s="7">
        <v>3</v>
      </c>
      <c r="K47" t="str">
        <v>Planer</v>
      </c>
      <c r="M47" t="str">
        <v>6-amp</v>
      </c>
      <c r="N47" t="b">
        <v>0</v>
      </c>
      <c r="O47" t="b">
        <v>0</v>
      </c>
      <c r="P47" t="b">
        <v>0</v>
      </c>
      <c r="Q47" t="b">
        <v>0</v>
      </c>
      <c r="R47">
        <v>0</v>
      </c>
      <c r="Z47" t="b">
        <v>0</v>
      </c>
      <c r="AA47" t="b">
        <v>0</v>
      </c>
      <c r="AB47">
        <v>0</v>
      </c>
      <c r="AD47" t="b">
        <v>0</v>
      </c>
      <c r="AE47" t="b">
        <v>0</v>
      </c>
      <c r="AF47" t="b">
        <v>0</v>
      </c>
      <c r="AG47">
        <v>0</v>
      </c>
    </row>
    <row r="48" spans="1:33" x14ac:dyDescent="0.25">
      <c r="A48" t="s">
        <v>79</v>
      </c>
      <c r="B48" t="s">
        <v>115</v>
      </c>
      <c r="C48" t="s">
        <v>112</v>
      </c>
      <c r="D48" t="s">
        <v>113</v>
      </c>
      <c r="E48" s="6">
        <v>9.25</v>
      </c>
      <c r="F48" s="6">
        <v>33.5</v>
      </c>
      <c r="G48" s="6">
        <v>92.25</v>
      </c>
      <c r="H48" s="7">
        <v>2</v>
      </c>
      <c r="K48" t="str">
        <v>Hand planer</v>
      </c>
      <c r="M48" t="str">
        <v>18-volt</v>
      </c>
      <c r="N48" t="b">
        <v>0</v>
      </c>
      <c r="O48" t="b">
        <v>0</v>
      </c>
      <c r="P48" t="b">
        <v>0</v>
      </c>
      <c r="Q48" t="b">
        <v>0</v>
      </c>
      <c r="R48">
        <v>0</v>
      </c>
      <c r="Z48" t="b">
        <v>0</v>
      </c>
      <c r="AA48" t="b">
        <v>0</v>
      </c>
      <c r="AB48">
        <v>0</v>
      </c>
      <c r="AD48" t="b">
        <v>0</v>
      </c>
      <c r="AE48" t="b">
        <v>0</v>
      </c>
      <c r="AF48" t="b">
        <v>0</v>
      </c>
      <c r="AG48">
        <v>0</v>
      </c>
    </row>
    <row r="49" spans="1:33" x14ac:dyDescent="0.25">
      <c r="A49" t="s">
        <v>80</v>
      </c>
      <c r="B49" t="s">
        <v>134</v>
      </c>
      <c r="C49" t="s">
        <v>135</v>
      </c>
      <c r="D49" t="s">
        <v>169</v>
      </c>
      <c r="E49" s="6">
        <v>15.75</v>
      </c>
      <c r="F49" s="6">
        <v>45</v>
      </c>
      <c r="G49" s="6">
        <v>124.5</v>
      </c>
      <c r="H49" s="7">
        <v>1</v>
      </c>
      <c r="K49" t="str">
        <v>Pickaxe</v>
      </c>
      <c r="M49" t="str">
        <v>20-volt</v>
      </c>
      <c r="N49" t="b">
        <v>0</v>
      </c>
      <c r="O49" t="b">
        <v>0</v>
      </c>
      <c r="P49" t="b">
        <v>0</v>
      </c>
      <c r="Q49" t="b">
        <v>0</v>
      </c>
      <c r="R49">
        <v>0</v>
      </c>
      <c r="Z49" t="b">
        <v>0</v>
      </c>
      <c r="AA49" t="b">
        <v>0</v>
      </c>
      <c r="AB49">
        <v>0</v>
      </c>
      <c r="AD49" t="b">
        <v>0</v>
      </c>
      <c r="AE49" t="b">
        <v>0</v>
      </c>
      <c r="AF49" t="b">
        <v>0</v>
      </c>
      <c r="AG49">
        <v>0</v>
      </c>
    </row>
    <row r="50" spans="1:33" x14ac:dyDescent="0.25">
      <c r="A50" t="s">
        <v>103</v>
      </c>
      <c r="B50" t="s">
        <v>104</v>
      </c>
      <c r="C50" t="s">
        <v>108</v>
      </c>
      <c r="D50" t="s">
        <v>109</v>
      </c>
      <c r="E50" s="6">
        <v>8.75</v>
      </c>
      <c r="F50" s="6">
        <v>31</v>
      </c>
      <c r="G50" s="6">
        <v>93.5</v>
      </c>
      <c r="H50" s="7">
        <v>2</v>
      </c>
      <c r="K50" t="str">
        <v>Shaper</v>
      </c>
      <c r="M50" t="str">
        <v>0.75 HP</v>
      </c>
      <c r="N50" t="b">
        <v>0</v>
      </c>
      <c r="O50" t="b">
        <v>0</v>
      </c>
      <c r="P50" t="b">
        <v>0</v>
      </c>
      <c r="Q50" t="b">
        <v>0</v>
      </c>
      <c r="R50">
        <v>0</v>
      </c>
      <c r="Z50" t="b">
        <v>0</v>
      </c>
      <c r="AA50" t="b">
        <v>0</v>
      </c>
      <c r="AB50">
        <v>0</v>
      </c>
      <c r="AD50" t="b">
        <v>0</v>
      </c>
      <c r="AE50" t="b">
        <v>0</v>
      </c>
      <c r="AF50" t="b">
        <v>0</v>
      </c>
      <c r="AG50">
        <v>0</v>
      </c>
    </row>
    <row r="51" spans="1:33" x14ac:dyDescent="0.25">
      <c r="A51" t="s">
        <v>3</v>
      </c>
      <c r="B51" t="s">
        <v>84</v>
      </c>
      <c r="C51" t="s">
        <v>83</v>
      </c>
      <c r="D51" t="s">
        <v>170</v>
      </c>
      <c r="E51" s="6">
        <v>9.75</v>
      </c>
      <c r="F51" s="6">
        <v>32.25</v>
      </c>
      <c r="G51" s="6">
        <v>87.75</v>
      </c>
      <c r="H51" s="7">
        <v>2</v>
      </c>
      <c r="K51" t="str">
        <v>Pruning saw</v>
      </c>
      <c r="M51" t="str">
        <v>1.5 HP</v>
      </c>
      <c r="N51" t="b">
        <v>0</v>
      </c>
      <c r="O51" t="b">
        <v>0</v>
      </c>
      <c r="P51" t="b">
        <v>0</v>
      </c>
      <c r="Q51" t="b">
        <v>0</v>
      </c>
      <c r="R51">
        <v>0</v>
      </c>
      <c r="Z51" t="b">
        <v>0</v>
      </c>
      <c r="AA51" t="b">
        <v>0</v>
      </c>
      <c r="AB51">
        <v>0</v>
      </c>
      <c r="AD51" t="b">
        <v>0</v>
      </c>
      <c r="AE51" t="b">
        <v>0</v>
      </c>
      <c r="AF51" t="b">
        <v>0</v>
      </c>
      <c r="AG51">
        <v>0</v>
      </c>
    </row>
    <row r="52" spans="1:33" x14ac:dyDescent="0.25">
      <c r="A52" t="s">
        <v>3</v>
      </c>
      <c r="B52" t="s">
        <v>84</v>
      </c>
      <c r="C52" t="s">
        <v>83</v>
      </c>
      <c r="D52" t="s">
        <v>132</v>
      </c>
      <c r="E52" s="6">
        <v>8.5</v>
      </c>
      <c r="F52" s="6">
        <v>28.75</v>
      </c>
      <c r="G52" s="6">
        <v>82</v>
      </c>
      <c r="H52" s="7">
        <v>1</v>
      </c>
      <c r="K52" t="str">
        <v>Pruning snippers</v>
      </c>
      <c r="M52" t="str">
        <v>12-amp/13"</v>
      </c>
      <c r="N52" t="b">
        <v>0</v>
      </c>
      <c r="O52" t="b">
        <v>0</v>
      </c>
      <c r="P52" t="b">
        <v>0</v>
      </c>
      <c r="Q52" t="b">
        <v>0</v>
      </c>
      <c r="R52">
        <v>0</v>
      </c>
      <c r="Z52" t="b">
        <v>0</v>
      </c>
      <c r="AA52" t="b">
        <v>0</v>
      </c>
      <c r="AB52">
        <v>0</v>
      </c>
      <c r="AD52" t="b">
        <v>0</v>
      </c>
      <c r="AE52" t="b">
        <v>0</v>
      </c>
      <c r="AF52" t="b">
        <v>0</v>
      </c>
      <c r="AG52">
        <v>0</v>
      </c>
    </row>
    <row r="53" spans="1:33" x14ac:dyDescent="0.25">
      <c r="A53" t="s">
        <v>3</v>
      </c>
      <c r="B53" t="s">
        <v>84</v>
      </c>
      <c r="C53" t="s">
        <v>10</v>
      </c>
      <c r="D53" t="s">
        <v>132</v>
      </c>
      <c r="E53" s="6">
        <v>7.75</v>
      </c>
      <c r="F53" s="6">
        <v>26.5</v>
      </c>
      <c r="G53" s="6">
        <v>77.5</v>
      </c>
      <c r="H53" s="7">
        <v>1</v>
      </c>
      <c r="K53" t="str">
        <v>Gasoline generator</v>
      </c>
      <c r="M53" t="str">
        <v>6 lb</v>
      </c>
      <c r="N53" t="b">
        <v>0</v>
      </c>
      <c r="O53" t="b">
        <v>0</v>
      </c>
      <c r="P53" t="b">
        <v>0</v>
      </c>
      <c r="Q53" t="b">
        <v>0</v>
      </c>
      <c r="R53">
        <v>0</v>
      </c>
      <c r="Z53" t="b">
        <v>0</v>
      </c>
      <c r="AA53" t="b">
        <v>0</v>
      </c>
      <c r="AB53">
        <v>0</v>
      </c>
      <c r="AD53" t="b">
        <v>0</v>
      </c>
      <c r="AE53" t="b">
        <v>0</v>
      </c>
      <c r="AF53" t="b">
        <v>0</v>
      </c>
      <c r="AG53">
        <v>0</v>
      </c>
    </row>
    <row r="54" spans="1:33" x14ac:dyDescent="0.25">
      <c r="A54" t="s">
        <v>3</v>
      </c>
      <c r="B54" t="s">
        <v>87</v>
      </c>
      <c r="C54" t="s">
        <v>83</v>
      </c>
      <c r="D54" t="s">
        <v>171</v>
      </c>
      <c r="E54" s="6">
        <v>9.5</v>
      </c>
      <c r="F54" s="6">
        <v>30.75</v>
      </c>
      <c r="G54" s="6">
        <v>89.75</v>
      </c>
      <c r="H54" s="7">
        <v>3</v>
      </c>
      <c r="K54" t="str">
        <v>Axe</v>
      </c>
      <c r="M54" t="str">
        <v>5 lb</v>
      </c>
      <c r="N54" t="b">
        <v>0</v>
      </c>
      <c r="O54" t="b">
        <v>0</v>
      </c>
      <c r="P54" t="b">
        <v>0</v>
      </c>
      <c r="Q54" t="b">
        <v>0</v>
      </c>
      <c r="R54">
        <v>0</v>
      </c>
      <c r="Z54" t="b">
        <v>0</v>
      </c>
      <c r="AA54" t="b">
        <v>0</v>
      </c>
      <c r="AB54">
        <v>0</v>
      </c>
      <c r="AD54" t="b">
        <v>0</v>
      </c>
      <c r="AE54" t="b">
        <v>0</v>
      </c>
      <c r="AF54" t="b">
        <v>0</v>
      </c>
      <c r="AG54">
        <v>0</v>
      </c>
    </row>
    <row r="55" spans="1:33" x14ac:dyDescent="0.25">
      <c r="A55" t="s">
        <v>3</v>
      </c>
      <c r="B55" t="s">
        <v>87</v>
      </c>
      <c r="C55" t="s">
        <v>10</v>
      </c>
      <c r="D55" t="s">
        <v>172</v>
      </c>
      <c r="E55" s="6">
        <v>9</v>
      </c>
      <c r="F55" s="6">
        <v>28.5</v>
      </c>
      <c r="G55" s="6">
        <v>85.25</v>
      </c>
      <c r="H55" s="7">
        <v>2</v>
      </c>
      <c r="K55" t="str">
        <v>Hatchet</v>
      </c>
      <c r="M55" t="str">
        <v>20 gal</v>
      </c>
      <c r="N55" t="b">
        <v>0</v>
      </c>
      <c r="O55" t="b">
        <v>0</v>
      </c>
      <c r="P55" t="b">
        <v>0</v>
      </c>
      <c r="Q55" t="b">
        <v>0</v>
      </c>
      <c r="R55">
        <v>0</v>
      </c>
      <c r="Z55" t="b">
        <v>0</v>
      </c>
      <c r="AA55" t="b">
        <v>0</v>
      </c>
      <c r="AB55">
        <v>0</v>
      </c>
      <c r="AD55" t="b">
        <v>0</v>
      </c>
      <c r="AE55" t="b">
        <v>0</v>
      </c>
      <c r="AF55" t="b">
        <v>0</v>
      </c>
      <c r="AG55">
        <v>0</v>
      </c>
    </row>
    <row r="56" spans="1:33" x14ac:dyDescent="0.25">
      <c r="A56" t="s">
        <v>3</v>
      </c>
      <c r="B56" t="s">
        <v>88</v>
      </c>
      <c r="C56" t="s">
        <v>83</v>
      </c>
      <c r="D56" t="s">
        <v>171</v>
      </c>
      <c r="E56" s="6">
        <v>11.25</v>
      </c>
      <c r="F56" s="6">
        <v>36.75</v>
      </c>
      <c r="G56" s="6">
        <v>121</v>
      </c>
      <c r="H56" s="7">
        <v>1</v>
      </c>
      <c r="K56" t="str">
        <v>Snowblower</v>
      </c>
      <c r="M56" t="str">
        <v>12-inch</v>
      </c>
      <c r="N56" t="b">
        <v>0</v>
      </c>
      <c r="O56" t="b">
        <v>0</v>
      </c>
      <c r="P56" t="b">
        <v>0</v>
      </c>
      <c r="Q56" t="b">
        <v>0</v>
      </c>
      <c r="R56">
        <v>0</v>
      </c>
      <c r="Z56" t="b">
        <v>0</v>
      </c>
      <c r="AA56" t="b">
        <v>0</v>
      </c>
      <c r="AB56">
        <v>0</v>
      </c>
      <c r="AD56" t="b">
        <v>0</v>
      </c>
      <c r="AE56" t="b">
        <v>0</v>
      </c>
      <c r="AF56" t="b">
        <v>0</v>
      </c>
      <c r="AG56">
        <v>0</v>
      </c>
    </row>
    <row r="57" spans="1:33" x14ac:dyDescent="0.25">
      <c r="A57" t="s">
        <v>80</v>
      </c>
      <c r="B57" t="s">
        <v>81</v>
      </c>
      <c r="C57" t="s">
        <v>86</v>
      </c>
      <c r="D57" t="s">
        <v>47</v>
      </c>
      <c r="E57" s="6">
        <v>13.25</v>
      </c>
      <c r="F57" s="6">
        <v>41</v>
      </c>
      <c r="G57" s="6">
        <v>138.75</v>
      </c>
      <c r="H57" s="7">
        <v>2</v>
      </c>
      <c r="K57" t="str">
        <v>Chisle</v>
      </c>
      <c r="M57" t="str">
        <v>14-inch</v>
      </c>
      <c r="N57" t="b">
        <v>0</v>
      </c>
      <c r="O57" t="b">
        <v>0</v>
      </c>
      <c r="P57" t="b">
        <v>0</v>
      </c>
      <c r="Q57" t="b">
        <v>0</v>
      </c>
      <c r="R57">
        <v>0</v>
      </c>
      <c r="Z57" t="b">
        <v>0</v>
      </c>
      <c r="AA57" t="b">
        <v>0</v>
      </c>
      <c r="AB57">
        <v>0</v>
      </c>
      <c r="AD57" t="b">
        <v>0</v>
      </c>
      <c r="AE57" t="b">
        <v>0</v>
      </c>
      <c r="AF57" t="b">
        <v>0</v>
      </c>
      <c r="AG57">
        <v>0</v>
      </c>
    </row>
    <row r="58" spans="1:33" x14ac:dyDescent="0.25">
      <c r="A58" t="s">
        <v>80</v>
      </c>
      <c r="B58" t="s">
        <v>82</v>
      </c>
      <c r="C58" t="s">
        <v>86</v>
      </c>
      <c r="D58" t="s">
        <v>48</v>
      </c>
      <c r="E58" s="6">
        <v>18.75</v>
      </c>
      <c r="F58" s="6">
        <v>51.25</v>
      </c>
      <c r="G58" s="6">
        <v>150</v>
      </c>
      <c r="H58" s="7">
        <v>1</v>
      </c>
      <c r="K58" t="str">
        <v>Wood splitter</v>
      </c>
      <c r="M58" t="str">
        <v>15-amp/13"</v>
      </c>
      <c r="N58" t="b">
        <v>0</v>
      </c>
      <c r="O58" t="b">
        <v>0</v>
      </c>
      <c r="P58" t="b">
        <v>0</v>
      </c>
      <c r="Q58" t="b">
        <v>0</v>
      </c>
      <c r="R58">
        <v>0</v>
      </c>
      <c r="Z58" t="b">
        <v>0</v>
      </c>
      <c r="AA58" t="b">
        <v>0</v>
      </c>
      <c r="AB58">
        <v>0</v>
      </c>
      <c r="AD58" t="b">
        <v>0</v>
      </c>
      <c r="AE58" t="b">
        <v>0</v>
      </c>
      <c r="AF58" t="b">
        <v>0</v>
      </c>
      <c r="AG58">
        <v>0</v>
      </c>
    </row>
    <row r="59" spans="1:33" x14ac:dyDescent="0.25">
      <c r="A59" t="s">
        <v>80</v>
      </c>
      <c r="B59" t="s">
        <v>168</v>
      </c>
      <c r="C59" t="s">
        <v>74</v>
      </c>
      <c r="D59" t="s">
        <v>125</v>
      </c>
      <c r="E59" s="6">
        <v>12.25</v>
      </c>
      <c r="F59" s="6">
        <v>34.5</v>
      </c>
      <c r="G59" s="6">
        <v>131.75</v>
      </c>
      <c r="H59" s="7">
        <v>1</v>
      </c>
      <c r="M59" t="str">
        <v>25'</v>
      </c>
      <c r="N59" t="b">
        <v>0</v>
      </c>
      <c r="O59" t="b">
        <v>0</v>
      </c>
      <c r="P59" t="b">
        <v>0</v>
      </c>
      <c r="Q59" t="b">
        <v>0</v>
      </c>
      <c r="R59">
        <v>0</v>
      </c>
      <c r="Z59" t="b">
        <v>0</v>
      </c>
      <c r="AA59" t="b">
        <v>0</v>
      </c>
      <c r="AB59">
        <v>0</v>
      </c>
      <c r="AD59" t="b">
        <v>0</v>
      </c>
      <c r="AE59" t="b">
        <v>0</v>
      </c>
      <c r="AF59" t="b">
        <v>0</v>
      </c>
      <c r="AG59">
        <v>0</v>
      </c>
    </row>
    <row r="60" spans="1:33" x14ac:dyDescent="0.25">
      <c r="A60" t="s">
        <v>80</v>
      </c>
      <c r="B60" t="s">
        <v>167</v>
      </c>
      <c r="C60" t="s">
        <v>83</v>
      </c>
      <c r="D60" t="s">
        <v>132</v>
      </c>
      <c r="E60" s="6">
        <v>10.5</v>
      </c>
      <c r="F60" s="6">
        <v>34.25</v>
      </c>
      <c r="G60" s="6">
        <v>130</v>
      </c>
      <c r="H60" s="7">
        <v>2</v>
      </c>
      <c r="M60" t="str">
        <v>6,500-watt</v>
      </c>
      <c r="N60" t="b">
        <v>0</v>
      </c>
      <c r="O60" t="b">
        <v>0</v>
      </c>
      <c r="P60" t="b">
        <v>0</v>
      </c>
      <c r="Q60" t="b">
        <v>0</v>
      </c>
      <c r="R60">
        <v>0</v>
      </c>
      <c r="Z60" t="b">
        <v>0</v>
      </c>
      <c r="AA60" t="b">
        <v>0</v>
      </c>
      <c r="AB60">
        <v>0</v>
      </c>
      <c r="AD60" t="b">
        <v>0</v>
      </c>
      <c r="AE60" t="b">
        <v>0</v>
      </c>
      <c r="AF60" t="b">
        <v>0</v>
      </c>
      <c r="AG60">
        <v>0</v>
      </c>
    </row>
    <row r="61" spans="1:33" x14ac:dyDescent="0.25">
      <c r="A61" t="s">
        <v>69</v>
      </c>
      <c r="B61" t="s">
        <v>94</v>
      </c>
      <c r="C61" t="s">
        <v>86</v>
      </c>
      <c r="D61" t="s">
        <v>91</v>
      </c>
      <c r="E61" s="6">
        <v>12.25</v>
      </c>
      <c r="F61" s="6">
        <v>37.5</v>
      </c>
      <c r="G61" s="6">
        <v>127.5</v>
      </c>
      <c r="H61" s="7">
        <v>2</v>
      </c>
      <c r="M61" t="str">
        <v>8,000-watt</v>
      </c>
      <c r="N61" t="b">
        <v>0</v>
      </c>
      <c r="O61" t="b">
        <v>0</v>
      </c>
      <c r="P61" t="b">
        <v>0</v>
      </c>
      <c r="Q61" t="b">
        <v>0</v>
      </c>
      <c r="R61">
        <v>0</v>
      </c>
      <c r="Z61" t="b">
        <v>0</v>
      </c>
      <c r="AA61" t="b">
        <v>0</v>
      </c>
      <c r="AB61">
        <v>0</v>
      </c>
      <c r="AD61" t="b">
        <v>0</v>
      </c>
      <c r="AE61" t="b">
        <v>0</v>
      </c>
      <c r="AF61" t="b">
        <v>0</v>
      </c>
      <c r="AG61">
        <v>0</v>
      </c>
    </row>
    <row r="62" spans="1:33" x14ac:dyDescent="0.25">
      <c r="A62" t="s">
        <v>79</v>
      </c>
      <c r="B62" t="s">
        <v>116</v>
      </c>
      <c r="C62" t="s">
        <v>74</v>
      </c>
      <c r="D62" t="s">
        <v>117</v>
      </c>
      <c r="E62" s="6">
        <v>6.75</v>
      </c>
      <c r="F62" s="6">
        <v>20.75</v>
      </c>
      <c r="G62" s="6">
        <v>75</v>
      </c>
      <c r="H62" s="7">
        <v>3</v>
      </c>
      <c r="M62" t="str">
        <v>27R</v>
      </c>
      <c r="N62" t="b">
        <v>0</v>
      </c>
      <c r="O62" t="b">
        <v>0</v>
      </c>
      <c r="P62" t="b">
        <v>0</v>
      </c>
      <c r="Q62" t="b">
        <v>0</v>
      </c>
      <c r="R62">
        <v>0</v>
      </c>
      <c r="Z62" t="b">
        <v>0</v>
      </c>
      <c r="AA62" t="b">
        <v>0</v>
      </c>
      <c r="AB62">
        <v>0</v>
      </c>
      <c r="AD62" t="b">
        <v>0</v>
      </c>
      <c r="AE62" t="b">
        <v>0</v>
      </c>
      <c r="AF62" t="b">
        <v>0</v>
      </c>
      <c r="AG62">
        <v>0</v>
      </c>
    </row>
    <row r="63" spans="1:33" x14ac:dyDescent="0.25">
      <c r="A63" t="s">
        <v>79</v>
      </c>
      <c r="B63" t="s">
        <v>116</v>
      </c>
      <c r="C63" t="s">
        <v>112</v>
      </c>
      <c r="D63" t="s">
        <v>118</v>
      </c>
      <c r="E63" s="6">
        <v>6.25</v>
      </c>
      <c r="F63" s="6">
        <v>19.5</v>
      </c>
      <c r="G63" s="6">
        <v>72</v>
      </c>
      <c r="H63" s="7">
        <v>2</v>
      </c>
      <c r="M63" t="str">
        <v>T100</v>
      </c>
      <c r="N63" t="b">
        <v>0</v>
      </c>
      <c r="O63" t="b">
        <v>0</v>
      </c>
      <c r="P63" t="b">
        <v>0</v>
      </c>
      <c r="Q63" t="b">
        <v>0</v>
      </c>
      <c r="R63">
        <v>0</v>
      </c>
      <c r="Z63" t="b">
        <v>0</v>
      </c>
      <c r="AA63" t="b">
        <v>0</v>
      </c>
      <c r="AB63">
        <v>0</v>
      </c>
      <c r="AD63" t="b">
        <v>0</v>
      </c>
      <c r="AE63" t="b">
        <v>0</v>
      </c>
      <c r="AF63" t="b">
        <v>0</v>
      </c>
      <c r="AG63">
        <v>0</v>
      </c>
    </row>
    <row r="64" spans="1:33" x14ac:dyDescent="0.25">
      <c r="A64" t="s">
        <v>80</v>
      </c>
      <c r="B64" t="s">
        <v>136</v>
      </c>
      <c r="C64" t="s">
        <v>135</v>
      </c>
      <c r="D64" t="s">
        <v>47</v>
      </c>
      <c r="E64" s="6">
        <v>22.25</v>
      </c>
      <c r="F64" s="6">
        <v>65</v>
      </c>
      <c r="G64" s="6">
        <v>175</v>
      </c>
      <c r="H64" s="7">
        <v>1</v>
      </c>
      <c r="M64" t="str">
        <v>5.5-amp</v>
      </c>
      <c r="N64" t="b">
        <v>0</v>
      </c>
      <c r="O64" t="b">
        <v>0</v>
      </c>
      <c r="P64" t="b">
        <v>0</v>
      </c>
      <c r="Q64" t="b">
        <v>0</v>
      </c>
      <c r="R64">
        <v>0</v>
      </c>
      <c r="Z64" t="b">
        <v>0</v>
      </c>
      <c r="AA64" t="b">
        <v>0</v>
      </c>
      <c r="AB64">
        <v>0</v>
      </c>
      <c r="AD64" t="b">
        <v>0</v>
      </c>
      <c r="AE64" t="b">
        <v>0</v>
      </c>
      <c r="AF64" t="b">
        <v>0</v>
      </c>
      <c r="AG64">
        <v>0</v>
      </c>
    </row>
    <row r="65" spans="1:33" x14ac:dyDescent="0.25">
      <c r="A65" t="s">
        <v>69</v>
      </c>
      <c r="B65" t="s">
        <v>94</v>
      </c>
      <c r="C65" t="s">
        <v>92</v>
      </c>
      <c r="D65" t="s">
        <v>93</v>
      </c>
      <c r="E65" s="6">
        <v>10.5</v>
      </c>
      <c r="F65" s="6">
        <v>34.25</v>
      </c>
      <c r="G65" s="6">
        <v>119.75</v>
      </c>
      <c r="H65" s="7">
        <v>1</v>
      </c>
      <c r="M65" t="str">
        <v>28"</v>
      </c>
      <c r="N65" t="b">
        <v>0</v>
      </c>
      <c r="O65" t="b">
        <v>0</v>
      </c>
      <c r="P65" t="b">
        <v>0</v>
      </c>
      <c r="Q65" t="b">
        <v>0</v>
      </c>
      <c r="R65">
        <v>0</v>
      </c>
      <c r="Z65" t="b">
        <v>0</v>
      </c>
      <c r="AA65" t="b">
        <v>0</v>
      </c>
      <c r="AB65">
        <v>0</v>
      </c>
      <c r="AD65" t="b">
        <v>0</v>
      </c>
      <c r="AE65" t="b">
        <v>0</v>
      </c>
      <c r="AF65" t="b">
        <v>0</v>
      </c>
      <c r="AG65">
        <v>0</v>
      </c>
    </row>
    <row r="66" spans="1:33" x14ac:dyDescent="0.25">
      <c r="A66" t="s">
        <v>5</v>
      </c>
      <c r="B66" t="s">
        <v>6</v>
      </c>
      <c r="C66" t="s">
        <v>74</v>
      </c>
      <c r="D66" t="s">
        <v>95</v>
      </c>
      <c r="E66" s="6">
        <v>5.25</v>
      </c>
      <c r="F66" s="6">
        <v>16.25</v>
      </c>
      <c r="G66" s="6">
        <v>49.75</v>
      </c>
      <c r="H66" s="7">
        <v>4</v>
      </c>
      <c r="M66" t="str">
        <v>1.5"</v>
      </c>
      <c r="N66" t="b">
        <v>1</v>
      </c>
      <c r="O66" t="b">
        <v>0</v>
      </c>
      <c r="P66" t="b">
        <v>0</v>
      </c>
      <c r="Q66" t="b">
        <v>0</v>
      </c>
      <c r="R66">
        <v>0</v>
      </c>
      <c r="Z66" t="b">
        <v>1</v>
      </c>
      <c r="AA66" t="b">
        <v>0</v>
      </c>
      <c r="AB66">
        <v>0</v>
      </c>
      <c r="AD66" t="b">
        <v>1</v>
      </c>
      <c r="AE66" t="b">
        <v>0</v>
      </c>
      <c r="AF66" t="b">
        <v>0</v>
      </c>
      <c r="AG66">
        <v>0</v>
      </c>
    </row>
    <row r="67" spans="1:33" x14ac:dyDescent="0.25">
      <c r="A67" t="s">
        <v>5</v>
      </c>
      <c r="B67" t="s">
        <v>96</v>
      </c>
      <c r="C67" t="s">
        <v>74</v>
      </c>
      <c r="D67" t="s">
        <v>97</v>
      </c>
      <c r="E67" s="6">
        <v>6.25</v>
      </c>
      <c r="F67" s="6">
        <v>18.25</v>
      </c>
      <c r="G67" s="6">
        <v>52</v>
      </c>
      <c r="H67" s="7">
        <v>2</v>
      </c>
      <c r="M67" t="str">
        <v>10 sq. meter</v>
      </c>
      <c r="N67" t="b">
        <v>1</v>
      </c>
      <c r="O67" t="b">
        <v>0</v>
      </c>
      <c r="P67" t="b">
        <v>0</v>
      </c>
      <c r="Q67" t="b">
        <v>0</v>
      </c>
      <c r="R67">
        <v>0</v>
      </c>
      <c r="Z67" t="b">
        <v>1</v>
      </c>
      <c r="AA67" t="b">
        <v>0</v>
      </c>
      <c r="AB67">
        <v>0</v>
      </c>
      <c r="AD67" t="b">
        <v>1</v>
      </c>
      <c r="AE67" t="b">
        <v>0</v>
      </c>
      <c r="AF67" t="b">
        <v>0</v>
      </c>
      <c r="AG67">
        <v>0</v>
      </c>
    </row>
    <row r="68" spans="1:33" x14ac:dyDescent="0.25">
      <c r="A68" t="s">
        <v>5</v>
      </c>
      <c r="B68" t="s">
        <v>98</v>
      </c>
      <c r="C68" t="s">
        <v>74</v>
      </c>
      <c r="D68" t="s">
        <v>18</v>
      </c>
      <c r="E68" s="6">
        <v>4.75</v>
      </c>
      <c r="F68" s="6">
        <v>14.75</v>
      </c>
      <c r="G68" s="6">
        <v>36.5</v>
      </c>
      <c r="H68" s="7">
        <v>2</v>
      </c>
      <c r="M68" t="str">
        <v>Cadet, 32"</v>
      </c>
      <c r="N68" t="b">
        <v>1</v>
      </c>
      <c r="O68" t="b">
        <v>0</v>
      </c>
      <c r="P68" t="b">
        <v>0</v>
      </c>
      <c r="Q68" t="b">
        <v>1</v>
      </c>
      <c r="R68">
        <v>0</v>
      </c>
      <c r="Z68" t="b">
        <v>1</v>
      </c>
      <c r="AA68" t="b">
        <v>0</v>
      </c>
      <c r="AB68">
        <v>0</v>
      </c>
      <c r="AD68" t="b">
        <v>1</v>
      </c>
      <c r="AE68" t="b">
        <v>0</v>
      </c>
      <c r="AF68" t="b">
        <v>0</v>
      </c>
      <c r="AG68">
        <v>0</v>
      </c>
    </row>
    <row r="69" spans="1:33" x14ac:dyDescent="0.25">
      <c r="A69" t="s">
        <v>80</v>
      </c>
      <c r="B69" t="s">
        <v>168</v>
      </c>
      <c r="C69" t="s">
        <v>10</v>
      </c>
      <c r="D69" t="s">
        <v>123</v>
      </c>
      <c r="E69" s="6">
        <v>15.25</v>
      </c>
      <c r="F69" s="6">
        <v>49.75</v>
      </c>
      <c r="G69" s="6">
        <v>147.5</v>
      </c>
      <c r="H69" s="7">
        <v>2</v>
      </c>
      <c r="M69" t="str">
        <v>10-person</v>
      </c>
      <c r="N69" t="b">
        <v>0</v>
      </c>
      <c r="O69" t="b">
        <v>0</v>
      </c>
      <c r="P69" t="b">
        <v>0</v>
      </c>
      <c r="Q69" t="b">
        <v>0</v>
      </c>
      <c r="R69">
        <v>0</v>
      </c>
      <c r="Z69" t="b">
        <v>0</v>
      </c>
      <c r="AA69" t="b">
        <v>0</v>
      </c>
      <c r="AB69">
        <v>0</v>
      </c>
      <c r="AD69" t="b">
        <v>0</v>
      </c>
      <c r="AE69" t="b">
        <v>0</v>
      </c>
      <c r="AF69" t="b">
        <v>0</v>
      </c>
      <c r="AG69">
        <v>0</v>
      </c>
    </row>
    <row r="70" spans="1:33" x14ac:dyDescent="0.25">
      <c r="A70" t="s">
        <v>3</v>
      </c>
      <c r="B70" t="s">
        <v>99</v>
      </c>
      <c r="C70" t="s">
        <v>124</v>
      </c>
      <c r="D70" t="s">
        <v>100</v>
      </c>
      <c r="E70" s="6">
        <v>2.25</v>
      </c>
      <c r="F70" s="6">
        <v>6.5</v>
      </c>
      <c r="G70" s="6">
        <v>18.75</v>
      </c>
      <c r="H70" s="7">
        <v>4</v>
      </c>
      <c r="M70" t="str">
        <v>8-foot</v>
      </c>
      <c r="N70" t="b">
        <v>0</v>
      </c>
      <c r="O70" t="b">
        <v>0</v>
      </c>
      <c r="P70" t="b">
        <v>0</v>
      </c>
      <c r="Q70" t="b">
        <v>0</v>
      </c>
      <c r="R70">
        <v>0</v>
      </c>
      <c r="Z70" t="b">
        <v>0</v>
      </c>
      <c r="AA70" t="b">
        <v>0</v>
      </c>
      <c r="AB70">
        <v>0</v>
      </c>
      <c r="AD70" t="b">
        <v>0</v>
      </c>
      <c r="AE70" t="b">
        <v>0</v>
      </c>
      <c r="AF70" t="b">
        <v>0</v>
      </c>
      <c r="AG70">
        <v>0</v>
      </c>
    </row>
    <row r="71" spans="1:33" x14ac:dyDescent="0.25">
      <c r="A71" t="s">
        <v>103</v>
      </c>
      <c r="B71" t="s">
        <v>102</v>
      </c>
      <c r="C71" t="s">
        <v>105</v>
      </c>
      <c r="D71" t="s">
        <v>107</v>
      </c>
      <c r="E71" s="6">
        <v>17.5</v>
      </c>
      <c r="F71" s="6">
        <v>63.25</v>
      </c>
      <c r="G71" s="6">
        <v>195</v>
      </c>
      <c r="H71" s="7">
        <v>2</v>
      </c>
      <c r="M71" t="str">
        <v>24-foot</v>
      </c>
      <c r="N71" t="b">
        <v>0</v>
      </c>
      <c r="O71" t="b">
        <v>0</v>
      </c>
      <c r="P71" t="b">
        <v>0</v>
      </c>
      <c r="Q71" t="b">
        <v>0</v>
      </c>
      <c r="R71">
        <v>0</v>
      </c>
      <c r="Z71" t="b">
        <v>0</v>
      </c>
      <c r="AA71" t="b">
        <v>0</v>
      </c>
      <c r="AB71">
        <v>0</v>
      </c>
      <c r="AD71" t="b">
        <v>0</v>
      </c>
      <c r="AE71" t="b">
        <v>0</v>
      </c>
      <c r="AF71" t="b">
        <v>0</v>
      </c>
      <c r="AG71">
        <v>0</v>
      </c>
    </row>
    <row r="72" spans="1:33" x14ac:dyDescent="0.25">
      <c r="A72" t="s">
        <v>103</v>
      </c>
      <c r="B72" t="s">
        <v>102</v>
      </c>
      <c r="C72" t="s">
        <v>10</v>
      </c>
      <c r="D72" t="s">
        <v>106</v>
      </c>
      <c r="E72" s="6">
        <v>23.75</v>
      </c>
      <c r="F72" s="6">
        <v>72.5</v>
      </c>
      <c r="G72" s="6">
        <v>225</v>
      </c>
      <c r="H72" s="7">
        <v>1</v>
      </c>
      <c r="N72" t="b">
        <v>0</v>
      </c>
      <c r="O72" t="b">
        <v>0</v>
      </c>
      <c r="P72" t="b">
        <v>0</v>
      </c>
      <c r="Q72" t="b">
        <v>0</v>
      </c>
      <c r="R72">
        <v>0</v>
      </c>
      <c r="Z72" t="b">
        <v>0</v>
      </c>
      <c r="AA72" t="b">
        <v>0</v>
      </c>
      <c r="AB72">
        <v>0</v>
      </c>
      <c r="AD72" t="b">
        <v>0</v>
      </c>
      <c r="AE72" t="b">
        <v>0</v>
      </c>
      <c r="AF72" t="b">
        <v>0</v>
      </c>
      <c r="AG72">
        <v>0</v>
      </c>
    </row>
    <row r="73" spans="1:33" x14ac:dyDescent="0.25">
      <c r="A73" t="s">
        <v>79</v>
      </c>
      <c r="B73" t="s">
        <v>119</v>
      </c>
      <c r="C73" t="s">
        <v>74</v>
      </c>
      <c r="D73" t="s">
        <v>122</v>
      </c>
      <c r="E73" s="6">
        <v>5.5</v>
      </c>
      <c r="F73" s="6">
        <v>17.75</v>
      </c>
      <c r="G73" s="6">
        <v>55</v>
      </c>
      <c r="H73" s="7">
        <v>2</v>
      </c>
      <c r="N73" t="b">
        <v>0</v>
      </c>
      <c r="O73" t="b">
        <v>0</v>
      </c>
      <c r="P73" t="b">
        <v>0</v>
      </c>
      <c r="Q73" t="b">
        <v>0</v>
      </c>
      <c r="R73">
        <v>0</v>
      </c>
      <c r="Z73" t="b">
        <v>0</v>
      </c>
      <c r="AA73" t="b">
        <v>0</v>
      </c>
      <c r="AB73">
        <v>0</v>
      </c>
      <c r="AD73" t="b">
        <v>0</v>
      </c>
      <c r="AE73" t="b">
        <v>0</v>
      </c>
      <c r="AF73" t="b">
        <v>0</v>
      </c>
      <c r="AG73">
        <v>0</v>
      </c>
    </row>
    <row r="74" spans="1:33" x14ac:dyDescent="0.25">
      <c r="A74" t="s">
        <v>79</v>
      </c>
      <c r="B74" t="s">
        <v>120</v>
      </c>
      <c r="C74" t="s">
        <v>92</v>
      </c>
      <c r="D74" t="s">
        <v>153</v>
      </c>
      <c r="E74" s="6">
        <v>4.25</v>
      </c>
      <c r="F74" s="6">
        <v>14.25</v>
      </c>
      <c r="G74" s="6">
        <v>42.75</v>
      </c>
      <c r="H74" s="7">
        <v>1</v>
      </c>
      <c r="N74" t="b">
        <v>0</v>
      </c>
      <c r="O74" t="b">
        <v>0</v>
      </c>
      <c r="P74" t="b">
        <v>0</v>
      </c>
      <c r="Q74" t="b">
        <v>0</v>
      </c>
      <c r="R74">
        <v>0</v>
      </c>
      <c r="Z74" t="b">
        <v>0</v>
      </c>
      <c r="AA74" t="b">
        <v>0</v>
      </c>
      <c r="AB74">
        <v>0</v>
      </c>
      <c r="AD74" t="b">
        <v>0</v>
      </c>
      <c r="AE74" t="b">
        <v>0</v>
      </c>
      <c r="AF74" t="b">
        <v>0</v>
      </c>
      <c r="AG74">
        <v>0</v>
      </c>
    </row>
    <row r="75" spans="1:33" x14ac:dyDescent="0.25">
      <c r="A75" t="s">
        <v>80</v>
      </c>
      <c r="B75" t="s">
        <v>167</v>
      </c>
      <c r="C75" t="s">
        <v>10</v>
      </c>
      <c r="D75" t="s">
        <v>133</v>
      </c>
      <c r="E75" s="6">
        <v>12.25</v>
      </c>
      <c r="F75" s="6">
        <v>34.75</v>
      </c>
      <c r="G75" s="6">
        <v>101</v>
      </c>
      <c r="H75" s="7">
        <v>2</v>
      </c>
      <c r="N75" t="b">
        <v>0</v>
      </c>
      <c r="O75" t="b">
        <v>0</v>
      </c>
      <c r="P75" t="b">
        <v>0</v>
      </c>
      <c r="Q75" t="b">
        <v>0</v>
      </c>
      <c r="R75">
        <v>0</v>
      </c>
      <c r="Z75" t="b">
        <v>0</v>
      </c>
      <c r="AA75" t="b">
        <v>0</v>
      </c>
      <c r="AB75">
        <v>0</v>
      </c>
      <c r="AD75" t="b">
        <v>0</v>
      </c>
      <c r="AE75" t="b">
        <v>0</v>
      </c>
      <c r="AF75" t="b">
        <v>0</v>
      </c>
      <c r="AG75">
        <v>0</v>
      </c>
    </row>
    <row r="76" spans="1:33" x14ac:dyDescent="0.25">
      <c r="A76" t="s">
        <v>79</v>
      </c>
      <c r="B76" t="s">
        <v>129</v>
      </c>
      <c r="C76" t="s">
        <v>137</v>
      </c>
      <c r="D76" t="s">
        <v>138</v>
      </c>
      <c r="E76" s="6">
        <v>17.75</v>
      </c>
      <c r="F76" s="6">
        <v>55.5</v>
      </c>
      <c r="G76" s="6">
        <v>162.5</v>
      </c>
      <c r="H76" s="7">
        <v>2</v>
      </c>
      <c r="N76" t="b">
        <v>0</v>
      </c>
      <c r="O76" t="b">
        <v>0</v>
      </c>
      <c r="P76" t="b">
        <v>0</v>
      </c>
      <c r="Q76" t="b">
        <v>0</v>
      </c>
      <c r="R76">
        <v>0</v>
      </c>
      <c r="Z76" t="b">
        <v>0</v>
      </c>
      <c r="AA76" t="b">
        <v>0</v>
      </c>
      <c r="AB76">
        <v>0</v>
      </c>
      <c r="AD76" t="b">
        <v>0</v>
      </c>
      <c r="AE76" t="b">
        <v>0</v>
      </c>
      <c r="AF76" t="b">
        <v>0</v>
      </c>
      <c r="AG76">
        <v>0</v>
      </c>
    </row>
    <row r="77" spans="1:33" x14ac:dyDescent="0.25">
      <c r="A77" t="s">
        <v>5</v>
      </c>
      <c r="B77" t="s">
        <v>154</v>
      </c>
      <c r="C77" t="s">
        <v>23</v>
      </c>
      <c r="D77" t="s">
        <v>155</v>
      </c>
      <c r="E77" s="6">
        <v>1.75</v>
      </c>
      <c r="F77" s="6">
        <v>5.5</v>
      </c>
      <c r="G77" s="6">
        <v>14.75</v>
      </c>
      <c r="H77" s="7">
        <v>2</v>
      </c>
      <c r="N77" t="b">
        <v>1</v>
      </c>
      <c r="O77" t="b">
        <v>0</v>
      </c>
      <c r="P77" t="b">
        <v>1</v>
      </c>
      <c r="Q77" t="b">
        <v>0</v>
      </c>
      <c r="R77">
        <v>0</v>
      </c>
      <c r="Z77" t="b">
        <v>1</v>
      </c>
      <c r="AA77" t="b">
        <v>0</v>
      </c>
      <c r="AB77">
        <v>0</v>
      </c>
      <c r="AD77" t="b">
        <v>1</v>
      </c>
      <c r="AE77" t="b">
        <v>0</v>
      </c>
      <c r="AF77" t="b">
        <v>1</v>
      </c>
      <c r="AG77">
        <v>0</v>
      </c>
    </row>
    <row r="78" spans="1:33" x14ac:dyDescent="0.25">
      <c r="A78" t="s">
        <v>103</v>
      </c>
      <c r="B78" t="s">
        <v>104</v>
      </c>
      <c r="C78" t="s">
        <v>108</v>
      </c>
      <c r="D78" t="s">
        <v>110</v>
      </c>
      <c r="E78" s="6">
        <v>22.5</v>
      </c>
      <c r="F78" s="6">
        <v>56</v>
      </c>
      <c r="G78" s="6">
        <v>160</v>
      </c>
      <c r="H78" s="7">
        <v>3</v>
      </c>
      <c r="N78" t="b">
        <v>0</v>
      </c>
      <c r="O78" t="b">
        <v>0</v>
      </c>
      <c r="P78" t="b">
        <v>0</v>
      </c>
      <c r="Q78" t="b">
        <v>0</v>
      </c>
      <c r="R78">
        <v>0</v>
      </c>
      <c r="Z78" t="b">
        <v>0</v>
      </c>
      <c r="AA78" t="b">
        <v>0</v>
      </c>
      <c r="AB78">
        <v>0</v>
      </c>
      <c r="AD78" t="b">
        <v>0</v>
      </c>
      <c r="AE78" t="b">
        <v>0</v>
      </c>
      <c r="AF78" t="b">
        <v>0</v>
      </c>
      <c r="AG78">
        <v>0</v>
      </c>
    </row>
    <row r="79" spans="1:33" x14ac:dyDescent="0.25">
      <c r="A79" t="s">
        <v>79</v>
      </c>
      <c r="B79" t="s">
        <v>121</v>
      </c>
      <c r="C79" t="s">
        <v>74</v>
      </c>
      <c r="D79" t="s">
        <v>118</v>
      </c>
      <c r="E79" s="6">
        <v>6.75</v>
      </c>
      <c r="F79" s="6">
        <v>22.5</v>
      </c>
      <c r="G79" s="6">
        <v>68.25</v>
      </c>
      <c r="H79" s="7">
        <v>2</v>
      </c>
      <c r="N79" t="b">
        <v>0</v>
      </c>
      <c r="O79" t="b">
        <v>0</v>
      </c>
      <c r="P79" t="b">
        <v>0</v>
      </c>
      <c r="Q79" t="b">
        <v>0</v>
      </c>
      <c r="R79">
        <v>0</v>
      </c>
      <c r="Z79" t="b">
        <v>0</v>
      </c>
      <c r="AA79" t="b">
        <v>0</v>
      </c>
      <c r="AB79">
        <v>0</v>
      </c>
      <c r="AD79" t="b">
        <v>0</v>
      </c>
      <c r="AE79" t="b">
        <v>0</v>
      </c>
      <c r="AF79" t="b">
        <v>0</v>
      </c>
      <c r="AG79">
        <v>0</v>
      </c>
    </row>
    <row r="80" spans="1:33" x14ac:dyDescent="0.25">
      <c r="A80" t="s">
        <v>79</v>
      </c>
      <c r="B80" t="s">
        <v>129</v>
      </c>
      <c r="C80" t="s">
        <v>130</v>
      </c>
      <c r="D80" t="s">
        <v>131</v>
      </c>
      <c r="E80" s="6">
        <v>20.25</v>
      </c>
      <c r="F80" s="6">
        <v>59.75</v>
      </c>
      <c r="G80" s="6">
        <v>170</v>
      </c>
      <c r="H80" s="7">
        <v>1</v>
      </c>
      <c r="N80" t="b">
        <v>0</v>
      </c>
      <c r="O80" t="b">
        <v>0</v>
      </c>
      <c r="P80" t="b">
        <v>0</v>
      </c>
      <c r="Q80" t="b">
        <v>0</v>
      </c>
      <c r="R80">
        <v>0</v>
      </c>
      <c r="Z80" t="b">
        <v>0</v>
      </c>
      <c r="AA80" t="b">
        <v>0</v>
      </c>
      <c r="AB80">
        <v>0</v>
      </c>
      <c r="AD80" t="b">
        <v>0</v>
      </c>
      <c r="AE80" t="b">
        <v>0</v>
      </c>
      <c r="AF80" t="b">
        <v>0</v>
      </c>
      <c r="AG80">
        <v>0</v>
      </c>
    </row>
    <row r="81" spans="1:33" x14ac:dyDescent="0.25">
      <c r="A81" t="s">
        <v>16</v>
      </c>
      <c r="B81" t="s">
        <v>17</v>
      </c>
      <c r="C81" t="s">
        <v>147</v>
      </c>
      <c r="D81" t="s">
        <v>152</v>
      </c>
      <c r="E81" s="6">
        <v>3.5</v>
      </c>
      <c r="F81" s="6">
        <v>12.75</v>
      </c>
      <c r="G81" s="6">
        <v>35.75</v>
      </c>
      <c r="H81" s="7">
        <v>24</v>
      </c>
      <c r="N81" t="b">
        <v>0</v>
      </c>
      <c r="O81" t="b">
        <v>0</v>
      </c>
      <c r="P81" t="b">
        <v>0</v>
      </c>
      <c r="Q81" t="b">
        <v>0</v>
      </c>
      <c r="R81">
        <v>0</v>
      </c>
      <c r="Z81" t="b">
        <v>0</v>
      </c>
      <c r="AA81" t="b">
        <v>0</v>
      </c>
      <c r="AB81">
        <v>0</v>
      </c>
      <c r="AD81" t="b">
        <v>0</v>
      </c>
      <c r="AE81" t="b">
        <v>0</v>
      </c>
      <c r="AF81" t="b">
        <v>0</v>
      </c>
      <c r="AG81">
        <v>0</v>
      </c>
    </row>
    <row r="82" spans="1:33" x14ac:dyDescent="0.25">
      <c r="A82" t="s">
        <v>16</v>
      </c>
      <c r="B82" t="s">
        <v>19</v>
      </c>
      <c r="C82" t="s">
        <v>147</v>
      </c>
      <c r="D82" t="s">
        <v>148</v>
      </c>
      <c r="E82" s="6">
        <v>12.75</v>
      </c>
      <c r="F82" s="6">
        <v>42.5</v>
      </c>
      <c r="G82" s="6">
        <v>125</v>
      </c>
      <c r="H82" s="7">
        <v>7</v>
      </c>
      <c r="N82" t="b">
        <v>0</v>
      </c>
      <c r="O82" t="b">
        <v>0</v>
      </c>
      <c r="P82" t="b">
        <v>0</v>
      </c>
      <c r="Q82" t="b">
        <v>0</v>
      </c>
      <c r="R82">
        <v>0</v>
      </c>
      <c r="Z82" t="b">
        <v>0</v>
      </c>
      <c r="AA82" t="b">
        <v>0</v>
      </c>
      <c r="AB82">
        <v>0</v>
      </c>
      <c r="AD82" t="b">
        <v>0</v>
      </c>
      <c r="AE82" t="b">
        <v>0</v>
      </c>
      <c r="AF82" t="b">
        <v>0</v>
      </c>
      <c r="AG82">
        <v>0</v>
      </c>
    </row>
    <row r="83" spans="1:33" x14ac:dyDescent="0.25">
      <c r="A83" t="s">
        <v>12</v>
      </c>
      <c r="B83" t="s">
        <v>13</v>
      </c>
      <c r="C83" t="s">
        <v>173</v>
      </c>
      <c r="D83" t="s">
        <v>174</v>
      </c>
      <c r="E83" s="6">
        <v>8.75</v>
      </c>
      <c r="F83" s="6">
        <v>29.5</v>
      </c>
      <c r="G83" s="6">
        <v>92</v>
      </c>
      <c r="H83" s="7">
        <v>2</v>
      </c>
      <c r="N83" t="b">
        <v>0</v>
      </c>
      <c r="O83" t="b">
        <v>0</v>
      </c>
      <c r="P83" t="b">
        <v>0</v>
      </c>
      <c r="Q83" t="b">
        <v>0</v>
      </c>
      <c r="R83">
        <v>0</v>
      </c>
      <c r="Z83" t="b">
        <v>0</v>
      </c>
      <c r="AA83" t="b">
        <v>0</v>
      </c>
      <c r="AB83">
        <v>0</v>
      </c>
      <c r="AD83" t="b">
        <v>0</v>
      </c>
      <c r="AE83" t="b">
        <v>0</v>
      </c>
      <c r="AF83" t="b">
        <v>0</v>
      </c>
      <c r="AG83">
        <v>0</v>
      </c>
    </row>
    <row r="84" spans="1:33" x14ac:dyDescent="0.25">
      <c r="A84" t="s">
        <v>12</v>
      </c>
      <c r="B84" t="s">
        <v>13</v>
      </c>
      <c r="C84" t="s">
        <v>173</v>
      </c>
      <c r="D84" t="s">
        <v>175</v>
      </c>
      <c r="E84" s="6">
        <v>13.75</v>
      </c>
      <c r="F84" s="6">
        <v>45</v>
      </c>
      <c r="G84" s="6">
        <v>127.5</v>
      </c>
      <c r="H84" s="7">
        <v>3</v>
      </c>
      <c r="N84" t="b">
        <v>0</v>
      </c>
      <c r="O84" t="b">
        <v>0</v>
      </c>
      <c r="P84" t="b">
        <v>0</v>
      </c>
      <c r="Q84" t="b">
        <v>0</v>
      </c>
      <c r="R84">
        <v>0</v>
      </c>
      <c r="Z84" t="b">
        <v>0</v>
      </c>
      <c r="AA84" t="b">
        <v>0</v>
      </c>
      <c r="AB84">
        <v>0</v>
      </c>
      <c r="AD84" t="b">
        <v>0</v>
      </c>
      <c r="AE84" t="b">
        <v>0</v>
      </c>
      <c r="AF84" t="b">
        <v>0</v>
      </c>
      <c r="AG84">
        <v>0</v>
      </c>
    </row>
    <row r="85" spans="1:33" x14ac:dyDescent="0.25">
      <c r="A85" t="s">
        <v>12</v>
      </c>
      <c r="B85" t="s">
        <v>13</v>
      </c>
      <c r="C85" t="s">
        <v>176</v>
      </c>
      <c r="D85" t="s">
        <v>174</v>
      </c>
      <c r="E85" s="6">
        <v>7.5</v>
      </c>
      <c r="F85" s="6">
        <v>24.5</v>
      </c>
      <c r="G85" s="6">
        <v>82.75</v>
      </c>
      <c r="H85" s="7">
        <v>2</v>
      </c>
      <c r="N85" t="b">
        <v>0</v>
      </c>
      <c r="O85" t="b">
        <v>0</v>
      </c>
      <c r="P85" t="b">
        <v>0</v>
      </c>
      <c r="Q85" t="b">
        <v>0</v>
      </c>
      <c r="R85">
        <v>0</v>
      </c>
      <c r="Z85" t="b">
        <v>0</v>
      </c>
      <c r="AA85" t="b">
        <v>0</v>
      </c>
      <c r="AB85">
        <v>0</v>
      </c>
      <c r="AD85" t="b">
        <v>0</v>
      </c>
      <c r="AE85" t="b">
        <v>0</v>
      </c>
      <c r="AF85" t="b">
        <v>0</v>
      </c>
      <c r="AG8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169-062C-46A9-BDBB-B859515C8D10}">
  <sheetPr codeName="Sheet3"/>
  <dimension ref="A1:H81"/>
  <sheetViews>
    <sheetView workbookViewId="0">
      <selection activeCell="J9" sqref="J9"/>
    </sheetView>
  </sheetViews>
  <sheetFormatPr defaultRowHeight="15" x14ac:dyDescent="0.25"/>
  <cols>
    <col min="1" max="1" width="22.5703125" bestFit="1" customWidth="1"/>
    <col min="2" max="2" width="22.42578125" bestFit="1" customWidth="1"/>
    <col min="3" max="3" width="14.28515625" bestFit="1" customWidth="1"/>
    <col min="4" max="4" width="11.7109375" bestFit="1" customWidth="1"/>
    <col min="5" max="5" width="12.28515625" bestFit="1" customWidth="1"/>
    <col min="6" max="6" width="13.5703125" bestFit="1" customWidth="1"/>
    <col min="7" max="7" width="15" bestFit="1" customWidth="1"/>
    <col min="8" max="8" width="7.85546875" bestFit="1" customWidth="1"/>
  </cols>
  <sheetData>
    <row r="1" spans="1:8" x14ac:dyDescent="0.25">
      <c r="A1" s="1" t="s">
        <v>1</v>
      </c>
      <c r="B1" s="1" t="s">
        <v>4</v>
      </c>
      <c r="C1" s="1" t="s">
        <v>2</v>
      </c>
      <c r="D1" s="1" t="s">
        <v>26</v>
      </c>
      <c r="E1" s="1" t="s">
        <v>160</v>
      </c>
      <c r="F1" s="1" t="s">
        <v>161</v>
      </c>
      <c r="G1" s="1" t="s">
        <v>162</v>
      </c>
      <c r="H1" s="1" t="s">
        <v>30</v>
      </c>
    </row>
    <row r="2" spans="1:8" x14ac:dyDescent="0.25">
      <c r="A2" t="s">
        <v>3</v>
      </c>
      <c r="B2" t="s">
        <v>9</v>
      </c>
      <c r="C2" t="s">
        <v>10</v>
      </c>
      <c r="D2" t="s">
        <v>11</v>
      </c>
      <c r="E2" s="6">
        <v>12.45</v>
      </c>
      <c r="F2" s="6">
        <v>42.5</v>
      </c>
      <c r="G2" s="6">
        <v>125</v>
      </c>
      <c r="H2" s="7">
        <v>3</v>
      </c>
    </row>
    <row r="3" spans="1:8" x14ac:dyDescent="0.25">
      <c r="A3" t="s">
        <v>5</v>
      </c>
      <c r="B3" t="s">
        <v>6</v>
      </c>
      <c r="C3" t="s">
        <v>7</v>
      </c>
      <c r="D3" t="s">
        <v>8</v>
      </c>
      <c r="E3" s="6">
        <v>8.25</v>
      </c>
      <c r="F3" s="6">
        <v>34.5</v>
      </c>
      <c r="G3" s="6">
        <v>109</v>
      </c>
      <c r="H3" s="7">
        <v>2</v>
      </c>
    </row>
    <row r="4" spans="1:8" x14ac:dyDescent="0.25">
      <c r="A4" t="s">
        <v>12</v>
      </c>
      <c r="B4" t="s">
        <v>13</v>
      </c>
      <c r="C4" t="s">
        <v>14</v>
      </c>
      <c r="D4" t="s">
        <v>15</v>
      </c>
      <c r="E4" s="6">
        <v>7.25</v>
      </c>
      <c r="F4" s="6">
        <v>29.5</v>
      </c>
      <c r="G4" s="6">
        <v>95</v>
      </c>
      <c r="H4" s="7">
        <v>1</v>
      </c>
    </row>
    <row r="5" spans="1:8" x14ac:dyDescent="0.25">
      <c r="A5" t="s">
        <v>16</v>
      </c>
      <c r="B5" t="s">
        <v>17</v>
      </c>
      <c r="C5" t="s">
        <v>20</v>
      </c>
      <c r="D5" t="s">
        <v>18</v>
      </c>
      <c r="E5" s="6">
        <v>3.25</v>
      </c>
      <c r="F5" s="6">
        <v>12.5</v>
      </c>
      <c r="G5" s="6">
        <v>24.75</v>
      </c>
      <c r="H5" s="7">
        <v>50</v>
      </c>
    </row>
    <row r="6" spans="1:8" x14ac:dyDescent="0.25">
      <c r="A6" t="s">
        <v>16</v>
      </c>
      <c r="B6" t="s">
        <v>19</v>
      </c>
      <c r="C6" t="s">
        <v>20</v>
      </c>
      <c r="D6" t="s">
        <v>21</v>
      </c>
      <c r="E6" s="6">
        <v>6.95</v>
      </c>
      <c r="F6" s="6">
        <v>29.75</v>
      </c>
      <c r="G6" s="6">
        <v>87.5</v>
      </c>
      <c r="H6" s="7">
        <v>20</v>
      </c>
    </row>
    <row r="7" spans="1:8" x14ac:dyDescent="0.25">
      <c r="A7" t="s">
        <v>5</v>
      </c>
      <c r="B7" t="s">
        <v>22</v>
      </c>
      <c r="C7" t="s">
        <v>23</v>
      </c>
      <c r="D7" t="s">
        <v>18</v>
      </c>
      <c r="E7" s="6">
        <v>1.75</v>
      </c>
      <c r="F7" s="6">
        <v>7.5</v>
      </c>
      <c r="G7" s="6">
        <v>19.25</v>
      </c>
      <c r="H7" s="7">
        <v>5</v>
      </c>
    </row>
    <row r="8" spans="1:8" x14ac:dyDescent="0.25">
      <c r="A8" t="s">
        <v>3</v>
      </c>
      <c r="B8" t="s">
        <v>72</v>
      </c>
      <c r="C8" t="s">
        <v>124</v>
      </c>
      <c r="D8" t="s">
        <v>73</v>
      </c>
      <c r="E8" s="6">
        <v>10.75</v>
      </c>
      <c r="F8" s="6">
        <v>38.75</v>
      </c>
      <c r="G8" s="6">
        <v>123</v>
      </c>
      <c r="H8" s="7">
        <v>2</v>
      </c>
    </row>
    <row r="9" spans="1:8" x14ac:dyDescent="0.25">
      <c r="A9" t="s">
        <v>24</v>
      </c>
      <c r="B9" t="s">
        <v>58</v>
      </c>
      <c r="C9" t="s">
        <v>25</v>
      </c>
      <c r="D9" t="s">
        <v>27</v>
      </c>
      <c r="E9" s="6">
        <v>35.75</v>
      </c>
      <c r="F9" s="6">
        <v>125</v>
      </c>
      <c r="G9" s="6">
        <v>375</v>
      </c>
      <c r="H9" s="7">
        <v>2</v>
      </c>
    </row>
    <row r="10" spans="1:8" x14ac:dyDescent="0.25">
      <c r="A10" t="s">
        <v>24</v>
      </c>
      <c r="B10" t="s">
        <v>28</v>
      </c>
      <c r="C10" t="s">
        <v>25</v>
      </c>
      <c r="D10" t="s">
        <v>29</v>
      </c>
      <c r="E10" s="6">
        <v>42.5</v>
      </c>
      <c r="F10" s="6">
        <v>139</v>
      </c>
      <c r="G10" s="6">
        <v>408</v>
      </c>
      <c r="H10" s="7">
        <v>1</v>
      </c>
    </row>
    <row r="11" spans="1:8" x14ac:dyDescent="0.25">
      <c r="A11" t="s">
        <v>3</v>
      </c>
      <c r="B11" t="s">
        <v>88</v>
      </c>
      <c r="C11" t="s">
        <v>10</v>
      </c>
      <c r="D11" t="s">
        <v>146</v>
      </c>
      <c r="E11" s="6">
        <v>9.75</v>
      </c>
      <c r="F11" s="6">
        <v>35.5</v>
      </c>
      <c r="G11" s="6">
        <v>113</v>
      </c>
      <c r="H11" s="7">
        <v>3</v>
      </c>
    </row>
    <row r="12" spans="1:8" x14ac:dyDescent="0.25">
      <c r="A12" t="s">
        <v>31</v>
      </c>
      <c r="B12" t="s">
        <v>32</v>
      </c>
      <c r="C12" t="s">
        <v>33</v>
      </c>
      <c r="D12" t="s">
        <v>34</v>
      </c>
      <c r="E12" s="6" t="s">
        <v>151</v>
      </c>
      <c r="F12" s="6">
        <v>125</v>
      </c>
      <c r="G12" s="6">
        <v>425</v>
      </c>
      <c r="H12" s="7">
        <v>2</v>
      </c>
    </row>
    <row r="13" spans="1:8" x14ac:dyDescent="0.25">
      <c r="A13" t="s">
        <v>31</v>
      </c>
      <c r="B13" t="s">
        <v>32</v>
      </c>
      <c r="C13" t="s">
        <v>33</v>
      </c>
      <c r="D13" t="s">
        <v>35</v>
      </c>
      <c r="E13" s="6" t="s">
        <v>151</v>
      </c>
      <c r="F13" s="6">
        <v>75</v>
      </c>
      <c r="G13" s="6">
        <v>230</v>
      </c>
      <c r="H13" s="7">
        <v>1</v>
      </c>
    </row>
    <row r="14" spans="1:8" x14ac:dyDescent="0.25">
      <c r="A14" t="s">
        <v>31</v>
      </c>
      <c r="B14" t="s">
        <v>32</v>
      </c>
      <c r="C14" t="s">
        <v>33</v>
      </c>
      <c r="D14" t="s">
        <v>36</v>
      </c>
      <c r="E14" s="6" t="s">
        <v>151</v>
      </c>
      <c r="F14" s="6">
        <v>195</v>
      </c>
      <c r="G14" s="6">
        <v>645</v>
      </c>
      <c r="H14" s="7">
        <v>1</v>
      </c>
    </row>
    <row r="15" spans="1:8" x14ac:dyDescent="0.25">
      <c r="A15" t="s">
        <v>24</v>
      </c>
      <c r="B15" t="s">
        <v>58</v>
      </c>
      <c r="C15" t="s">
        <v>25</v>
      </c>
      <c r="D15" t="s">
        <v>59</v>
      </c>
      <c r="E15" s="6">
        <v>54</v>
      </c>
      <c r="F15" s="6">
        <v>175</v>
      </c>
      <c r="G15" s="6">
        <v>525</v>
      </c>
      <c r="H15" s="7">
        <v>2</v>
      </c>
    </row>
    <row r="16" spans="1:8" x14ac:dyDescent="0.25">
      <c r="A16" t="s">
        <v>24</v>
      </c>
      <c r="B16" t="s">
        <v>58</v>
      </c>
      <c r="C16" t="s">
        <v>57</v>
      </c>
      <c r="D16" t="s">
        <v>60</v>
      </c>
      <c r="E16" s="6">
        <v>42.5</v>
      </c>
      <c r="F16" s="6">
        <v>160</v>
      </c>
      <c r="G16" s="6">
        <v>475</v>
      </c>
      <c r="H16" s="7">
        <v>1</v>
      </c>
    </row>
    <row r="17" spans="1:8" x14ac:dyDescent="0.25">
      <c r="A17" t="s">
        <v>37</v>
      </c>
      <c r="B17" t="s">
        <v>38</v>
      </c>
      <c r="C17" t="s">
        <v>74</v>
      </c>
      <c r="D17" t="s">
        <v>149</v>
      </c>
      <c r="E17" s="6">
        <v>15.25</v>
      </c>
      <c r="F17" s="6">
        <v>45.75</v>
      </c>
      <c r="G17" s="6">
        <v>150</v>
      </c>
      <c r="H17" s="7">
        <v>2</v>
      </c>
    </row>
    <row r="18" spans="1:8" x14ac:dyDescent="0.25">
      <c r="A18" t="s">
        <v>39</v>
      </c>
      <c r="B18" t="s">
        <v>40</v>
      </c>
      <c r="C18" t="s">
        <v>74</v>
      </c>
      <c r="D18" t="s">
        <v>150</v>
      </c>
      <c r="E18" s="6">
        <v>16.75</v>
      </c>
      <c r="F18" s="6">
        <v>49.5</v>
      </c>
      <c r="G18" s="6">
        <v>165</v>
      </c>
      <c r="H18" s="7">
        <v>3</v>
      </c>
    </row>
    <row r="19" spans="1:8" x14ac:dyDescent="0.25">
      <c r="A19" t="s">
        <v>12</v>
      </c>
      <c r="B19" t="s">
        <v>41</v>
      </c>
      <c r="C19" t="s">
        <v>42</v>
      </c>
      <c r="D19" t="s">
        <v>43</v>
      </c>
      <c r="E19" s="6">
        <v>11.25</v>
      </c>
      <c r="F19" s="6">
        <v>35.25</v>
      </c>
      <c r="G19" s="6">
        <v>115</v>
      </c>
      <c r="H19" s="7">
        <v>12</v>
      </c>
    </row>
    <row r="20" spans="1:8" x14ac:dyDescent="0.25">
      <c r="A20" t="s">
        <v>12</v>
      </c>
      <c r="B20" t="s">
        <v>44</v>
      </c>
      <c r="C20" t="s">
        <v>42</v>
      </c>
      <c r="D20" t="s">
        <v>45</v>
      </c>
      <c r="E20" s="6">
        <v>9.75</v>
      </c>
      <c r="F20" s="6">
        <v>27.5</v>
      </c>
      <c r="G20" s="6">
        <v>95</v>
      </c>
      <c r="H20" s="7">
        <v>3</v>
      </c>
    </row>
    <row r="21" spans="1:8" x14ac:dyDescent="0.25">
      <c r="A21" t="s">
        <v>3</v>
      </c>
      <c r="B21" t="s">
        <v>46</v>
      </c>
      <c r="C21" t="s">
        <v>124</v>
      </c>
      <c r="D21" t="s">
        <v>49</v>
      </c>
      <c r="E21" s="6">
        <v>8.75</v>
      </c>
      <c r="F21" s="6">
        <v>34.5</v>
      </c>
      <c r="G21" s="6">
        <v>110</v>
      </c>
      <c r="H21" s="7">
        <v>1</v>
      </c>
    </row>
    <row r="22" spans="1:8" x14ac:dyDescent="0.25">
      <c r="A22" t="s">
        <v>3</v>
      </c>
      <c r="B22" t="s">
        <v>46</v>
      </c>
      <c r="C22" t="s">
        <v>124</v>
      </c>
      <c r="D22" t="s">
        <v>50</v>
      </c>
      <c r="E22" s="6">
        <v>10.25</v>
      </c>
      <c r="F22" s="6">
        <v>38.75</v>
      </c>
      <c r="G22" s="6">
        <v>129.75</v>
      </c>
      <c r="H22" s="7">
        <v>2</v>
      </c>
    </row>
    <row r="23" spans="1:8" x14ac:dyDescent="0.25">
      <c r="A23" t="s">
        <v>3</v>
      </c>
      <c r="B23" t="s">
        <v>46</v>
      </c>
      <c r="C23" t="s">
        <v>51</v>
      </c>
      <c r="D23" t="s">
        <v>52</v>
      </c>
      <c r="E23" s="6">
        <v>9.75</v>
      </c>
      <c r="F23" s="6">
        <v>36.5</v>
      </c>
      <c r="G23" s="6">
        <v>120</v>
      </c>
      <c r="H23" s="7">
        <v>1</v>
      </c>
    </row>
    <row r="24" spans="1:8" x14ac:dyDescent="0.25">
      <c r="A24" t="s">
        <v>24</v>
      </c>
      <c r="B24" t="s">
        <v>53</v>
      </c>
      <c r="C24" t="s">
        <v>25</v>
      </c>
      <c r="D24" t="s">
        <v>54</v>
      </c>
      <c r="E24" s="6">
        <v>85</v>
      </c>
      <c r="F24" s="6">
        <v>250</v>
      </c>
      <c r="G24" s="6">
        <v>875</v>
      </c>
      <c r="H24" s="7">
        <v>1</v>
      </c>
    </row>
    <row r="25" spans="1:8" x14ac:dyDescent="0.25">
      <c r="A25" t="s">
        <v>24</v>
      </c>
      <c r="B25" t="s">
        <v>55</v>
      </c>
      <c r="C25" t="s">
        <v>25</v>
      </c>
      <c r="D25" t="s">
        <v>56</v>
      </c>
      <c r="E25" s="6">
        <v>125</v>
      </c>
      <c r="F25" s="6">
        <v>375</v>
      </c>
      <c r="G25" s="6">
        <v>1175</v>
      </c>
      <c r="H25" s="7">
        <v>1</v>
      </c>
    </row>
    <row r="26" spans="1:8" x14ac:dyDescent="0.25">
      <c r="A26" t="s">
        <v>24</v>
      </c>
      <c r="B26" t="s">
        <v>61</v>
      </c>
      <c r="C26" t="s">
        <v>57</v>
      </c>
      <c r="D26" t="s">
        <v>62</v>
      </c>
      <c r="E26" s="6">
        <v>45</v>
      </c>
      <c r="F26" s="6">
        <v>175</v>
      </c>
      <c r="G26" s="6">
        <v>525</v>
      </c>
      <c r="H26" s="7">
        <v>2</v>
      </c>
    </row>
    <row r="27" spans="1:8" x14ac:dyDescent="0.25">
      <c r="A27" t="s">
        <v>39</v>
      </c>
      <c r="B27" t="s">
        <v>65</v>
      </c>
      <c r="C27" t="s">
        <v>10</v>
      </c>
      <c r="D27" t="s">
        <v>139</v>
      </c>
      <c r="E27" s="6">
        <v>7.25</v>
      </c>
      <c r="F27" s="6">
        <v>29.75</v>
      </c>
      <c r="G27" s="6">
        <v>87.5</v>
      </c>
      <c r="H27" s="7">
        <v>3</v>
      </c>
    </row>
    <row r="28" spans="1:8" x14ac:dyDescent="0.25">
      <c r="A28" t="s">
        <v>63</v>
      </c>
      <c r="B28" t="s">
        <v>64</v>
      </c>
      <c r="C28" t="s">
        <v>74</v>
      </c>
      <c r="D28" t="s">
        <v>140</v>
      </c>
      <c r="E28" s="6">
        <v>8.75</v>
      </c>
      <c r="F28" s="6">
        <v>33.5</v>
      </c>
      <c r="G28" s="6">
        <v>105</v>
      </c>
      <c r="H28" s="7">
        <v>2</v>
      </c>
    </row>
    <row r="29" spans="1:8" x14ac:dyDescent="0.25">
      <c r="A29" t="s">
        <v>39</v>
      </c>
      <c r="B29" t="s">
        <v>85</v>
      </c>
      <c r="C29" t="s">
        <v>83</v>
      </c>
      <c r="D29" t="s">
        <v>141</v>
      </c>
      <c r="E29" s="6">
        <v>12.5</v>
      </c>
      <c r="F29" s="6">
        <v>38.75</v>
      </c>
      <c r="G29" s="6">
        <v>125</v>
      </c>
      <c r="H29" s="7">
        <v>2</v>
      </c>
    </row>
    <row r="30" spans="1:8" x14ac:dyDescent="0.25">
      <c r="A30" t="s">
        <v>69</v>
      </c>
      <c r="B30" t="s">
        <v>94</v>
      </c>
      <c r="C30" t="s">
        <v>10</v>
      </c>
      <c r="D30" t="s">
        <v>91</v>
      </c>
      <c r="E30" s="6">
        <v>13.5</v>
      </c>
      <c r="F30" s="6">
        <v>42.5</v>
      </c>
      <c r="G30" s="6">
        <v>130</v>
      </c>
      <c r="H30" s="7">
        <v>3</v>
      </c>
    </row>
    <row r="31" spans="1:8" x14ac:dyDescent="0.25">
      <c r="A31" t="s">
        <v>63</v>
      </c>
      <c r="B31" t="s">
        <v>67</v>
      </c>
      <c r="C31" t="s">
        <v>74</v>
      </c>
      <c r="D31" t="s">
        <v>142</v>
      </c>
      <c r="E31" s="6">
        <v>13.75</v>
      </c>
      <c r="F31" s="6">
        <v>41.75</v>
      </c>
      <c r="G31" s="6">
        <v>125</v>
      </c>
      <c r="H31" s="7">
        <v>1</v>
      </c>
    </row>
    <row r="32" spans="1:8" x14ac:dyDescent="0.25">
      <c r="A32" t="s">
        <v>3</v>
      </c>
      <c r="B32" t="s">
        <v>89</v>
      </c>
      <c r="C32" t="s">
        <v>70</v>
      </c>
      <c r="D32" t="s">
        <v>90</v>
      </c>
      <c r="E32" s="6">
        <v>12.5</v>
      </c>
      <c r="F32" s="6">
        <v>36.75</v>
      </c>
      <c r="G32" s="6">
        <v>117.5</v>
      </c>
      <c r="H32" s="7">
        <v>1</v>
      </c>
    </row>
    <row r="33" spans="1:8" x14ac:dyDescent="0.25">
      <c r="A33" t="s">
        <v>39</v>
      </c>
      <c r="B33" t="s">
        <v>66</v>
      </c>
      <c r="C33" t="s">
        <v>74</v>
      </c>
      <c r="D33" t="s">
        <v>143</v>
      </c>
      <c r="E33" s="6">
        <v>15.5</v>
      </c>
      <c r="F33" s="6">
        <v>44.75</v>
      </c>
      <c r="G33" s="6">
        <v>132</v>
      </c>
      <c r="H33" s="7">
        <v>2</v>
      </c>
    </row>
    <row r="34" spans="1:8" x14ac:dyDescent="0.25">
      <c r="A34" t="s">
        <v>79</v>
      </c>
      <c r="B34" t="s">
        <v>126</v>
      </c>
      <c r="C34" t="s">
        <v>127</v>
      </c>
      <c r="D34" t="s">
        <v>128</v>
      </c>
      <c r="E34" s="6">
        <v>7.5</v>
      </c>
      <c r="F34" s="6">
        <v>23.75</v>
      </c>
      <c r="G34" s="6">
        <v>65</v>
      </c>
      <c r="H34" s="7">
        <v>5</v>
      </c>
    </row>
    <row r="35" spans="1:8" x14ac:dyDescent="0.25">
      <c r="A35" t="s">
        <v>69</v>
      </c>
      <c r="B35" t="s">
        <v>145</v>
      </c>
      <c r="C35" t="s">
        <v>70</v>
      </c>
      <c r="D35" t="s">
        <v>182</v>
      </c>
      <c r="E35" s="6">
        <v>12.5</v>
      </c>
      <c r="F35" s="6">
        <v>35.25</v>
      </c>
      <c r="G35" s="6">
        <v>97.5</v>
      </c>
      <c r="H35" s="7">
        <v>1</v>
      </c>
    </row>
    <row r="36" spans="1:8" x14ac:dyDescent="0.25">
      <c r="A36" t="s">
        <v>69</v>
      </c>
      <c r="B36" t="s">
        <v>68</v>
      </c>
      <c r="C36" t="s">
        <v>10</v>
      </c>
      <c r="D36" t="s">
        <v>146</v>
      </c>
      <c r="E36" s="6">
        <v>11.75</v>
      </c>
      <c r="F36" s="6">
        <v>33.75</v>
      </c>
      <c r="G36" s="6">
        <v>92.5</v>
      </c>
      <c r="H36" s="7">
        <v>2</v>
      </c>
    </row>
    <row r="37" spans="1:8" x14ac:dyDescent="0.25">
      <c r="A37" t="s">
        <v>69</v>
      </c>
      <c r="B37" t="s">
        <v>71</v>
      </c>
      <c r="C37" t="s">
        <v>70</v>
      </c>
      <c r="D37" t="s">
        <v>144</v>
      </c>
      <c r="E37" s="6">
        <v>14.5</v>
      </c>
      <c r="F37" s="6">
        <v>40.75</v>
      </c>
      <c r="G37" s="6">
        <v>125</v>
      </c>
      <c r="H37" s="7">
        <v>1</v>
      </c>
    </row>
    <row r="38" spans="1:8" x14ac:dyDescent="0.25">
      <c r="A38" t="s">
        <v>69</v>
      </c>
      <c r="B38" t="s">
        <v>71</v>
      </c>
      <c r="C38" t="s">
        <v>10</v>
      </c>
      <c r="D38" t="s">
        <v>146</v>
      </c>
      <c r="E38" s="6">
        <v>13.75</v>
      </c>
      <c r="F38" s="6">
        <v>37.75</v>
      </c>
      <c r="G38" s="6">
        <v>120</v>
      </c>
      <c r="H38" s="7">
        <v>1</v>
      </c>
    </row>
    <row r="39" spans="1:8" x14ac:dyDescent="0.25">
      <c r="A39" t="s">
        <v>75</v>
      </c>
      <c r="B39" t="s">
        <v>76</v>
      </c>
      <c r="C39" t="s">
        <v>74</v>
      </c>
      <c r="D39" t="s">
        <v>77</v>
      </c>
      <c r="E39" s="6">
        <v>2.5</v>
      </c>
      <c r="F39" s="6">
        <v>8.25</v>
      </c>
      <c r="G39" s="6">
        <v>22.5</v>
      </c>
      <c r="H39" s="7">
        <v>150</v>
      </c>
    </row>
    <row r="40" spans="1:8" x14ac:dyDescent="0.25">
      <c r="A40" t="s">
        <v>75</v>
      </c>
      <c r="B40" t="s">
        <v>78</v>
      </c>
      <c r="C40" t="s">
        <v>74</v>
      </c>
      <c r="D40" t="s">
        <v>152</v>
      </c>
      <c r="E40" s="6" t="s">
        <v>151</v>
      </c>
      <c r="F40" s="6">
        <v>1.25</v>
      </c>
      <c r="G40" s="6">
        <v>4.25</v>
      </c>
      <c r="H40" s="7">
        <v>232</v>
      </c>
    </row>
    <row r="41" spans="1:8" x14ac:dyDescent="0.25">
      <c r="A41" t="s">
        <v>79</v>
      </c>
      <c r="B41" t="s">
        <v>111</v>
      </c>
      <c r="C41" t="s">
        <v>112</v>
      </c>
      <c r="D41" t="s">
        <v>113</v>
      </c>
      <c r="E41" s="6">
        <v>10.5</v>
      </c>
      <c r="F41" s="6">
        <v>35.75</v>
      </c>
      <c r="G41" s="6">
        <v>95.25</v>
      </c>
      <c r="H41" s="7">
        <v>2</v>
      </c>
    </row>
    <row r="42" spans="1:8" x14ac:dyDescent="0.25">
      <c r="A42" t="s">
        <v>79</v>
      </c>
      <c r="B42" t="s">
        <v>111</v>
      </c>
      <c r="C42" t="s">
        <v>114</v>
      </c>
      <c r="D42" t="s">
        <v>113</v>
      </c>
      <c r="E42" s="6">
        <v>8.75</v>
      </c>
      <c r="F42" s="6">
        <v>32.5</v>
      </c>
      <c r="G42" s="6">
        <v>89.75</v>
      </c>
      <c r="H42" s="7">
        <v>1</v>
      </c>
    </row>
    <row r="43" spans="1:8" x14ac:dyDescent="0.25">
      <c r="A43" t="s">
        <v>3</v>
      </c>
      <c r="B43" t="s">
        <v>99</v>
      </c>
      <c r="C43" t="s">
        <v>74</v>
      </c>
      <c r="D43" t="s">
        <v>101</v>
      </c>
      <c r="E43" s="6">
        <v>3.5</v>
      </c>
      <c r="F43" s="6">
        <v>10</v>
      </c>
      <c r="G43" s="6">
        <v>32.25</v>
      </c>
      <c r="H43" s="7">
        <v>3</v>
      </c>
    </row>
    <row r="44" spans="1:8" x14ac:dyDescent="0.25">
      <c r="A44" t="s">
        <v>79</v>
      </c>
      <c r="B44" t="s">
        <v>115</v>
      </c>
      <c r="C44" t="s">
        <v>112</v>
      </c>
      <c r="D44" t="s">
        <v>113</v>
      </c>
      <c r="E44" s="6">
        <v>9.25</v>
      </c>
      <c r="F44" s="6">
        <v>33.5</v>
      </c>
      <c r="G44" s="6">
        <v>92.25</v>
      </c>
      <c r="H44" s="7">
        <v>2</v>
      </c>
    </row>
    <row r="45" spans="1:8" x14ac:dyDescent="0.25">
      <c r="A45" t="s">
        <v>80</v>
      </c>
      <c r="B45" t="s">
        <v>134</v>
      </c>
      <c r="C45" t="s">
        <v>135</v>
      </c>
      <c r="D45" t="s">
        <v>169</v>
      </c>
      <c r="E45" s="6">
        <v>15.75</v>
      </c>
      <c r="F45" s="6">
        <v>45</v>
      </c>
      <c r="G45" s="6">
        <v>124.5</v>
      </c>
      <c r="H45" s="7">
        <v>1</v>
      </c>
    </row>
    <row r="46" spans="1:8" x14ac:dyDescent="0.25">
      <c r="A46" t="s">
        <v>103</v>
      </c>
      <c r="B46" t="s">
        <v>104</v>
      </c>
      <c r="C46" t="s">
        <v>108</v>
      </c>
      <c r="D46" t="s">
        <v>109</v>
      </c>
      <c r="E46" s="6">
        <v>8.75</v>
      </c>
      <c r="F46" s="6">
        <v>31</v>
      </c>
      <c r="G46" s="6">
        <v>93.5</v>
      </c>
      <c r="H46" s="7">
        <v>2</v>
      </c>
    </row>
    <row r="47" spans="1:8" x14ac:dyDescent="0.25">
      <c r="A47" t="s">
        <v>3</v>
      </c>
      <c r="B47" t="s">
        <v>84</v>
      </c>
      <c r="C47" t="s">
        <v>83</v>
      </c>
      <c r="D47" t="s">
        <v>170</v>
      </c>
      <c r="E47" s="6">
        <v>9.75</v>
      </c>
      <c r="F47" s="6">
        <v>32.25</v>
      </c>
      <c r="G47" s="6">
        <v>87.75</v>
      </c>
      <c r="H47" s="7">
        <v>2</v>
      </c>
    </row>
    <row r="48" spans="1:8" x14ac:dyDescent="0.25">
      <c r="A48" t="s">
        <v>3</v>
      </c>
      <c r="B48" t="s">
        <v>84</v>
      </c>
      <c r="C48" t="s">
        <v>83</v>
      </c>
      <c r="D48" t="s">
        <v>132</v>
      </c>
      <c r="E48" s="6">
        <v>8.5</v>
      </c>
      <c r="F48" s="6">
        <v>28.75</v>
      </c>
      <c r="G48" s="6">
        <v>82</v>
      </c>
      <c r="H48" s="7">
        <v>1</v>
      </c>
    </row>
    <row r="49" spans="1:8" x14ac:dyDescent="0.25">
      <c r="A49" t="s">
        <v>3</v>
      </c>
      <c r="B49" t="s">
        <v>84</v>
      </c>
      <c r="C49" t="s">
        <v>10</v>
      </c>
      <c r="D49" t="s">
        <v>132</v>
      </c>
      <c r="E49" s="6">
        <v>7.75</v>
      </c>
      <c r="F49" s="6">
        <v>26.5</v>
      </c>
      <c r="G49" s="6">
        <v>77.5</v>
      </c>
      <c r="H49" s="7">
        <v>1</v>
      </c>
    </row>
    <row r="50" spans="1:8" x14ac:dyDescent="0.25">
      <c r="A50" t="s">
        <v>3</v>
      </c>
      <c r="B50" t="s">
        <v>87</v>
      </c>
      <c r="C50" t="s">
        <v>83</v>
      </c>
      <c r="D50" t="s">
        <v>171</v>
      </c>
      <c r="E50" s="6">
        <v>9.5</v>
      </c>
      <c r="F50" s="6">
        <v>30.75</v>
      </c>
      <c r="G50" s="6">
        <v>89.75</v>
      </c>
      <c r="H50" s="7">
        <v>3</v>
      </c>
    </row>
    <row r="51" spans="1:8" x14ac:dyDescent="0.25">
      <c r="A51" t="s">
        <v>3</v>
      </c>
      <c r="B51" t="s">
        <v>87</v>
      </c>
      <c r="C51" t="s">
        <v>10</v>
      </c>
      <c r="D51" t="s">
        <v>172</v>
      </c>
      <c r="E51" s="6">
        <v>9</v>
      </c>
      <c r="F51" s="6">
        <v>28.5</v>
      </c>
      <c r="G51" s="6">
        <v>85.25</v>
      </c>
      <c r="H51" s="7">
        <v>2</v>
      </c>
    </row>
    <row r="52" spans="1:8" x14ac:dyDescent="0.25">
      <c r="A52" t="s">
        <v>3</v>
      </c>
      <c r="B52" t="s">
        <v>88</v>
      </c>
      <c r="C52" t="s">
        <v>83</v>
      </c>
      <c r="D52" t="s">
        <v>171</v>
      </c>
      <c r="E52" s="6">
        <v>11.25</v>
      </c>
      <c r="F52" s="6">
        <v>36.75</v>
      </c>
      <c r="G52" s="6">
        <v>121</v>
      </c>
      <c r="H52" s="7">
        <v>1</v>
      </c>
    </row>
    <row r="53" spans="1:8" x14ac:dyDescent="0.25">
      <c r="A53" t="s">
        <v>80</v>
      </c>
      <c r="B53" t="s">
        <v>81</v>
      </c>
      <c r="C53" t="s">
        <v>86</v>
      </c>
      <c r="D53" t="s">
        <v>47</v>
      </c>
      <c r="E53" s="6">
        <v>13.25</v>
      </c>
      <c r="F53" s="6">
        <v>41</v>
      </c>
      <c r="G53" s="6">
        <v>138.75</v>
      </c>
      <c r="H53" s="7">
        <v>2</v>
      </c>
    </row>
    <row r="54" spans="1:8" x14ac:dyDescent="0.25">
      <c r="A54" t="s">
        <v>80</v>
      </c>
      <c r="B54" t="s">
        <v>82</v>
      </c>
      <c r="C54" t="s">
        <v>86</v>
      </c>
      <c r="D54" t="s">
        <v>48</v>
      </c>
      <c r="E54" s="6">
        <v>18.75</v>
      </c>
      <c r="F54" s="6">
        <v>51.25</v>
      </c>
      <c r="G54" s="6">
        <v>150</v>
      </c>
      <c r="H54" s="7">
        <v>1</v>
      </c>
    </row>
    <row r="55" spans="1:8" x14ac:dyDescent="0.25">
      <c r="A55" t="s">
        <v>80</v>
      </c>
      <c r="B55" t="s">
        <v>168</v>
      </c>
      <c r="C55" t="s">
        <v>74</v>
      </c>
      <c r="D55" t="s">
        <v>125</v>
      </c>
      <c r="E55" s="6">
        <v>12.25</v>
      </c>
      <c r="F55" s="6">
        <v>34.5</v>
      </c>
      <c r="G55" s="6">
        <v>131.75</v>
      </c>
      <c r="H55" s="7">
        <v>1</v>
      </c>
    </row>
    <row r="56" spans="1:8" x14ac:dyDescent="0.25">
      <c r="A56" t="s">
        <v>80</v>
      </c>
      <c r="B56" t="s">
        <v>167</v>
      </c>
      <c r="C56" t="s">
        <v>83</v>
      </c>
      <c r="D56" t="s">
        <v>132</v>
      </c>
      <c r="E56" s="6">
        <v>10.5</v>
      </c>
      <c r="F56" s="6">
        <v>34.25</v>
      </c>
      <c r="G56" s="6">
        <v>130</v>
      </c>
      <c r="H56" s="7">
        <v>2</v>
      </c>
    </row>
    <row r="57" spans="1:8" x14ac:dyDescent="0.25">
      <c r="A57" t="s">
        <v>69</v>
      </c>
      <c r="B57" t="s">
        <v>94</v>
      </c>
      <c r="C57" t="s">
        <v>86</v>
      </c>
      <c r="D57" t="s">
        <v>91</v>
      </c>
      <c r="E57" s="6">
        <v>12.25</v>
      </c>
      <c r="F57" s="6">
        <v>37.5</v>
      </c>
      <c r="G57" s="6">
        <v>127.5</v>
      </c>
      <c r="H57" s="7">
        <v>2</v>
      </c>
    </row>
    <row r="58" spans="1:8" x14ac:dyDescent="0.25">
      <c r="A58" t="s">
        <v>79</v>
      </c>
      <c r="B58" t="s">
        <v>116</v>
      </c>
      <c r="C58" t="s">
        <v>74</v>
      </c>
      <c r="D58" t="s">
        <v>117</v>
      </c>
      <c r="E58" s="6">
        <v>6.75</v>
      </c>
      <c r="F58" s="6">
        <v>20.75</v>
      </c>
      <c r="G58" s="6">
        <v>75</v>
      </c>
      <c r="H58" s="7">
        <v>3</v>
      </c>
    </row>
    <row r="59" spans="1:8" x14ac:dyDescent="0.25">
      <c r="A59" t="s">
        <v>79</v>
      </c>
      <c r="B59" t="s">
        <v>116</v>
      </c>
      <c r="C59" t="s">
        <v>112</v>
      </c>
      <c r="D59" t="s">
        <v>118</v>
      </c>
      <c r="E59" s="6">
        <v>6.25</v>
      </c>
      <c r="F59" s="6">
        <v>19.5</v>
      </c>
      <c r="G59" s="6">
        <v>72</v>
      </c>
      <c r="H59" s="7">
        <v>2</v>
      </c>
    </row>
    <row r="60" spans="1:8" x14ac:dyDescent="0.25">
      <c r="A60" t="s">
        <v>80</v>
      </c>
      <c r="B60" t="s">
        <v>136</v>
      </c>
      <c r="C60" t="s">
        <v>135</v>
      </c>
      <c r="D60" t="s">
        <v>47</v>
      </c>
      <c r="E60" s="6">
        <v>22.25</v>
      </c>
      <c r="F60" s="6">
        <v>65</v>
      </c>
      <c r="G60" s="6">
        <v>175</v>
      </c>
      <c r="H60" s="7">
        <v>1</v>
      </c>
    </row>
    <row r="61" spans="1:8" x14ac:dyDescent="0.25">
      <c r="A61" t="s">
        <v>69</v>
      </c>
      <c r="B61" t="s">
        <v>94</v>
      </c>
      <c r="C61" t="s">
        <v>92</v>
      </c>
      <c r="D61" t="s">
        <v>93</v>
      </c>
      <c r="E61" s="6">
        <v>10.5</v>
      </c>
      <c r="F61" s="6">
        <v>34.25</v>
      </c>
      <c r="G61" s="6">
        <v>119.75</v>
      </c>
      <c r="H61" s="7">
        <v>1</v>
      </c>
    </row>
    <row r="62" spans="1:8" x14ac:dyDescent="0.25">
      <c r="A62" t="s">
        <v>5</v>
      </c>
      <c r="B62" t="s">
        <v>6</v>
      </c>
      <c r="C62" t="s">
        <v>74</v>
      </c>
      <c r="D62" t="s">
        <v>95</v>
      </c>
      <c r="E62" s="6">
        <v>5.25</v>
      </c>
      <c r="F62" s="6">
        <v>16.25</v>
      </c>
      <c r="G62" s="6">
        <v>49.75</v>
      </c>
      <c r="H62" s="7">
        <v>4</v>
      </c>
    </row>
    <row r="63" spans="1:8" x14ac:dyDescent="0.25">
      <c r="A63" t="s">
        <v>5</v>
      </c>
      <c r="B63" t="s">
        <v>96</v>
      </c>
      <c r="C63" t="s">
        <v>74</v>
      </c>
      <c r="D63" t="s">
        <v>97</v>
      </c>
      <c r="E63" s="6">
        <v>6.25</v>
      </c>
      <c r="F63" s="6">
        <v>18.25</v>
      </c>
      <c r="G63" s="6">
        <v>52</v>
      </c>
      <c r="H63" s="7">
        <v>2</v>
      </c>
    </row>
    <row r="64" spans="1:8" x14ac:dyDescent="0.25">
      <c r="A64" t="s">
        <v>5</v>
      </c>
      <c r="B64" t="s">
        <v>98</v>
      </c>
      <c r="C64" t="s">
        <v>74</v>
      </c>
      <c r="D64" t="s">
        <v>18</v>
      </c>
      <c r="E64" s="6">
        <v>4.75</v>
      </c>
      <c r="F64" s="6">
        <v>14.75</v>
      </c>
      <c r="G64" s="6">
        <v>36.5</v>
      </c>
      <c r="H64" s="7">
        <v>2</v>
      </c>
    </row>
    <row r="65" spans="1:8" x14ac:dyDescent="0.25">
      <c r="A65" t="s">
        <v>80</v>
      </c>
      <c r="B65" t="s">
        <v>168</v>
      </c>
      <c r="C65" t="s">
        <v>10</v>
      </c>
      <c r="D65" t="s">
        <v>123</v>
      </c>
      <c r="E65" s="6">
        <v>15.25</v>
      </c>
      <c r="F65" s="6">
        <v>49.75</v>
      </c>
      <c r="G65" s="6">
        <v>147.5</v>
      </c>
      <c r="H65" s="7">
        <v>2</v>
      </c>
    </row>
    <row r="66" spans="1:8" x14ac:dyDescent="0.25">
      <c r="A66" t="s">
        <v>3</v>
      </c>
      <c r="B66" t="s">
        <v>99</v>
      </c>
      <c r="C66" t="s">
        <v>124</v>
      </c>
      <c r="D66" t="s">
        <v>100</v>
      </c>
      <c r="E66" s="6">
        <v>2.25</v>
      </c>
      <c r="F66" s="6">
        <v>6.5</v>
      </c>
      <c r="G66" s="6">
        <v>18.75</v>
      </c>
      <c r="H66" s="7">
        <v>4</v>
      </c>
    </row>
    <row r="67" spans="1:8" x14ac:dyDescent="0.25">
      <c r="A67" t="s">
        <v>103</v>
      </c>
      <c r="B67" t="s">
        <v>102</v>
      </c>
      <c r="C67" t="s">
        <v>105</v>
      </c>
      <c r="D67" t="s">
        <v>107</v>
      </c>
      <c r="E67" s="6">
        <v>17.5</v>
      </c>
      <c r="F67" s="6">
        <v>63.25</v>
      </c>
      <c r="G67" s="6">
        <v>195</v>
      </c>
      <c r="H67" s="7">
        <v>2</v>
      </c>
    </row>
    <row r="68" spans="1:8" x14ac:dyDescent="0.25">
      <c r="A68" t="s">
        <v>103</v>
      </c>
      <c r="B68" t="s">
        <v>102</v>
      </c>
      <c r="C68" t="s">
        <v>10</v>
      </c>
      <c r="D68" t="s">
        <v>106</v>
      </c>
      <c r="E68" s="6">
        <v>23.75</v>
      </c>
      <c r="F68" s="6">
        <v>72.5</v>
      </c>
      <c r="G68" s="6">
        <v>225</v>
      </c>
      <c r="H68" s="7">
        <v>1</v>
      </c>
    </row>
    <row r="69" spans="1:8" x14ac:dyDescent="0.25">
      <c r="A69" t="s">
        <v>79</v>
      </c>
      <c r="B69" t="s">
        <v>119</v>
      </c>
      <c r="C69" t="s">
        <v>74</v>
      </c>
      <c r="D69" t="s">
        <v>122</v>
      </c>
      <c r="E69" s="6">
        <v>5.5</v>
      </c>
      <c r="F69" s="6">
        <v>17.75</v>
      </c>
      <c r="G69" s="6">
        <v>55</v>
      </c>
      <c r="H69" s="7">
        <v>2</v>
      </c>
    </row>
    <row r="70" spans="1:8" x14ac:dyDescent="0.25">
      <c r="A70" t="s">
        <v>79</v>
      </c>
      <c r="B70" t="s">
        <v>120</v>
      </c>
      <c r="C70" t="s">
        <v>92</v>
      </c>
      <c r="D70" t="s">
        <v>153</v>
      </c>
      <c r="E70" s="6">
        <v>4.25</v>
      </c>
      <c r="F70" s="6">
        <v>14.25</v>
      </c>
      <c r="G70" s="6">
        <v>42.75</v>
      </c>
      <c r="H70" s="7">
        <v>1</v>
      </c>
    </row>
    <row r="71" spans="1:8" x14ac:dyDescent="0.25">
      <c r="A71" t="s">
        <v>80</v>
      </c>
      <c r="B71" t="s">
        <v>167</v>
      </c>
      <c r="C71" t="s">
        <v>10</v>
      </c>
      <c r="D71" t="s">
        <v>133</v>
      </c>
      <c r="E71" s="6">
        <v>12.25</v>
      </c>
      <c r="F71" s="6">
        <v>34.75</v>
      </c>
      <c r="G71" s="6">
        <v>101</v>
      </c>
      <c r="H71" s="7">
        <v>2</v>
      </c>
    </row>
    <row r="72" spans="1:8" x14ac:dyDescent="0.25">
      <c r="A72" t="s">
        <v>79</v>
      </c>
      <c r="B72" t="s">
        <v>129</v>
      </c>
      <c r="C72" t="s">
        <v>137</v>
      </c>
      <c r="D72" t="s">
        <v>138</v>
      </c>
      <c r="E72" s="6">
        <v>17.75</v>
      </c>
      <c r="F72" s="6">
        <v>55.5</v>
      </c>
      <c r="G72" s="6">
        <v>162.5</v>
      </c>
      <c r="H72" s="7">
        <v>2</v>
      </c>
    </row>
    <row r="73" spans="1:8" x14ac:dyDescent="0.25">
      <c r="A73" t="s">
        <v>5</v>
      </c>
      <c r="B73" t="s">
        <v>154</v>
      </c>
      <c r="C73" t="s">
        <v>23</v>
      </c>
      <c r="D73" t="s">
        <v>155</v>
      </c>
      <c r="E73" s="6">
        <v>1.75</v>
      </c>
      <c r="F73" s="6">
        <v>5.5</v>
      </c>
      <c r="G73" s="6">
        <v>14.75</v>
      </c>
      <c r="H73" s="7">
        <v>2</v>
      </c>
    </row>
    <row r="74" spans="1:8" x14ac:dyDescent="0.25">
      <c r="A74" t="s">
        <v>103</v>
      </c>
      <c r="B74" t="s">
        <v>104</v>
      </c>
      <c r="C74" t="s">
        <v>108</v>
      </c>
      <c r="D74" t="s">
        <v>110</v>
      </c>
      <c r="E74" s="6">
        <v>22.5</v>
      </c>
      <c r="F74" s="6">
        <v>56</v>
      </c>
      <c r="G74" s="6">
        <v>160</v>
      </c>
      <c r="H74" s="7">
        <v>3</v>
      </c>
    </row>
    <row r="75" spans="1:8" x14ac:dyDescent="0.25">
      <c r="A75" t="s">
        <v>79</v>
      </c>
      <c r="B75" t="s">
        <v>121</v>
      </c>
      <c r="C75" t="s">
        <v>74</v>
      </c>
      <c r="D75" t="s">
        <v>118</v>
      </c>
      <c r="E75" s="6">
        <v>6.75</v>
      </c>
      <c r="F75" s="6">
        <v>22.5</v>
      </c>
      <c r="G75" s="6">
        <v>68.25</v>
      </c>
      <c r="H75" s="7">
        <v>2</v>
      </c>
    </row>
    <row r="76" spans="1:8" x14ac:dyDescent="0.25">
      <c r="A76" t="s">
        <v>79</v>
      </c>
      <c r="B76" t="s">
        <v>129</v>
      </c>
      <c r="C76" t="s">
        <v>130</v>
      </c>
      <c r="D76" t="s">
        <v>131</v>
      </c>
      <c r="E76" s="6">
        <v>20.25</v>
      </c>
      <c r="F76" s="6">
        <v>59.75</v>
      </c>
      <c r="G76" s="6">
        <v>170</v>
      </c>
      <c r="H76" s="7">
        <v>1</v>
      </c>
    </row>
    <row r="77" spans="1:8" x14ac:dyDescent="0.25">
      <c r="A77" t="s">
        <v>16</v>
      </c>
      <c r="B77" t="s">
        <v>17</v>
      </c>
      <c r="C77" t="s">
        <v>147</v>
      </c>
      <c r="D77" t="s">
        <v>152</v>
      </c>
      <c r="E77" s="6">
        <v>3.5</v>
      </c>
      <c r="F77" s="6">
        <v>12.75</v>
      </c>
      <c r="G77" s="6">
        <v>35.75</v>
      </c>
      <c r="H77" s="7">
        <v>24</v>
      </c>
    </row>
    <row r="78" spans="1:8" x14ac:dyDescent="0.25">
      <c r="A78" t="s">
        <v>16</v>
      </c>
      <c r="B78" t="s">
        <v>19</v>
      </c>
      <c r="C78" t="s">
        <v>147</v>
      </c>
      <c r="D78" t="s">
        <v>148</v>
      </c>
      <c r="E78" s="6">
        <v>12.75</v>
      </c>
      <c r="F78" s="6">
        <v>42.5</v>
      </c>
      <c r="G78" s="6">
        <v>125</v>
      </c>
      <c r="H78" s="7">
        <v>7</v>
      </c>
    </row>
    <row r="79" spans="1:8" x14ac:dyDescent="0.25">
      <c r="A79" t="s">
        <v>12</v>
      </c>
      <c r="B79" t="s">
        <v>13</v>
      </c>
      <c r="C79" t="s">
        <v>173</v>
      </c>
      <c r="D79" t="s">
        <v>174</v>
      </c>
      <c r="E79" s="6">
        <v>8.75</v>
      </c>
      <c r="F79" s="6">
        <v>29.5</v>
      </c>
      <c r="G79" s="6">
        <v>92</v>
      </c>
      <c r="H79" s="7">
        <v>2</v>
      </c>
    </row>
    <row r="80" spans="1:8" x14ac:dyDescent="0.25">
      <c r="A80" t="s">
        <v>12</v>
      </c>
      <c r="B80" t="s">
        <v>13</v>
      </c>
      <c r="C80" t="s">
        <v>173</v>
      </c>
      <c r="D80" t="s">
        <v>175</v>
      </c>
      <c r="E80" s="6">
        <v>13.75</v>
      </c>
      <c r="F80" s="6">
        <v>45</v>
      </c>
      <c r="G80" s="6">
        <v>127.5</v>
      </c>
      <c r="H80" s="7">
        <v>3</v>
      </c>
    </row>
    <row r="81" spans="1:8" x14ac:dyDescent="0.25">
      <c r="A81" t="s">
        <v>12</v>
      </c>
      <c r="B81" t="s">
        <v>13</v>
      </c>
      <c r="C81" t="s">
        <v>176</v>
      </c>
      <c r="D81" t="s">
        <v>174</v>
      </c>
      <c r="E81" s="6">
        <v>7.5</v>
      </c>
      <c r="F81" s="6">
        <v>24.5</v>
      </c>
      <c r="G81" s="6">
        <v>82.75</v>
      </c>
      <c r="H81" s="7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Inventory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2021-01-20T15:31:44Z</dcterms:created>
  <dcterms:modified xsi:type="dcterms:W3CDTF">2023-09-01T03:35:03Z</dcterms:modified>
</cp:coreProperties>
</file>