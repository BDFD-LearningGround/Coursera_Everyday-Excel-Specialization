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ASHik\Me\Dream\Coursera\EveryDay Excel\Every Day Excel Part 3\Course Files\"/>
    </mc:Choice>
  </mc:AlternateContent>
  <xr:revisionPtr revIDLastSave="0" documentId="13_ncr:1_{D7C1E93F-DA69-4B66-8925-D3407EB1ED62}" xr6:coauthVersionLast="47" xr6:coauthVersionMax="47" xr10:uidLastSave="{00000000-0000-0000-0000-000000000000}"/>
  <bookViews>
    <workbookView xWindow="-120" yWindow="-120" windowWidth="29040" windowHeight="15840" xr2:uid="{1072E9B1-C487-4D11-8513-EA7859DD9D75}"/>
  </bookViews>
  <sheets>
    <sheet name="Dashboard" sheetId="2" r:id="rId1"/>
    <sheet name="Amortization Schedule" sheetId="1" r:id="rId2"/>
  </sheets>
  <definedNames>
    <definedName name="extrapmt">'Amortization Schedule'!$K$6</definedName>
    <definedName name="int">'Amortization Schedule'!$B$5</definedName>
    <definedName name="interval">'Amortization Schedule'!$K$4</definedName>
    <definedName name="n">'Amortization Schedule'!$B$3</definedName>
    <definedName name="P">'Amortization Schedule'!$B$4</definedName>
    <definedName name="pmt">'Amortization Schedule'!$E$5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6" i="1" l="1"/>
  <c r="K4" i="1"/>
  <c r="E24" i="1" s="1"/>
  <c r="G8" i="2"/>
  <c r="B3" i="1"/>
  <c r="E138" i="1" l="1"/>
  <c r="E195" i="1"/>
  <c r="E26" i="1"/>
  <c r="E320" i="1"/>
  <c r="E266" i="1"/>
  <c r="E248" i="1"/>
  <c r="E176" i="1"/>
  <c r="E122" i="1"/>
  <c r="E23" i="1"/>
  <c r="E336" i="1"/>
  <c r="E282" i="1"/>
  <c r="E246" i="1"/>
  <c r="E192" i="1"/>
  <c r="E65" i="1"/>
  <c r="E353" i="1"/>
  <c r="E335" i="1"/>
  <c r="E317" i="1"/>
  <c r="E299" i="1"/>
  <c r="E281" i="1"/>
  <c r="E263" i="1"/>
  <c r="E245" i="1"/>
  <c r="E227" i="1"/>
  <c r="E209" i="1"/>
  <c r="E191" i="1"/>
  <c r="E173" i="1"/>
  <c r="E155" i="1"/>
  <c r="E137" i="1"/>
  <c r="E119" i="1"/>
  <c r="E101" i="1"/>
  <c r="E83" i="1"/>
  <c r="E63" i="1"/>
  <c r="E41" i="1"/>
  <c r="E20" i="1"/>
  <c r="E339" i="1"/>
  <c r="E285" i="1"/>
  <c r="E177" i="1"/>
  <c r="E44" i="1"/>
  <c r="E334" i="1"/>
  <c r="E351" i="1"/>
  <c r="E333" i="1"/>
  <c r="E315" i="1"/>
  <c r="E297" i="1"/>
  <c r="E279" i="1"/>
  <c r="E261" i="1"/>
  <c r="E243" i="1"/>
  <c r="E225" i="1"/>
  <c r="E207" i="1"/>
  <c r="E189" i="1"/>
  <c r="E171" i="1"/>
  <c r="E153" i="1"/>
  <c r="E135" i="1"/>
  <c r="E117" i="1"/>
  <c r="E99" i="1"/>
  <c r="E81" i="1"/>
  <c r="E62" i="1"/>
  <c r="E39" i="1"/>
  <c r="E18" i="1"/>
  <c r="E357" i="1"/>
  <c r="E231" i="1"/>
  <c r="E21" i="1"/>
  <c r="E8" i="1"/>
  <c r="E350" i="1"/>
  <c r="E332" i="1"/>
  <c r="E314" i="1"/>
  <c r="E296" i="1"/>
  <c r="E278" i="1"/>
  <c r="E260" i="1"/>
  <c r="E242" i="1"/>
  <c r="E224" i="1"/>
  <c r="E206" i="1"/>
  <c r="E188" i="1"/>
  <c r="E170" i="1"/>
  <c r="E152" i="1"/>
  <c r="E134" i="1"/>
  <c r="E116" i="1"/>
  <c r="E98" i="1"/>
  <c r="E80" i="1"/>
  <c r="E59" i="1"/>
  <c r="E38" i="1"/>
  <c r="E17" i="1"/>
  <c r="E213" i="1"/>
  <c r="E105" i="1"/>
  <c r="E338" i="1"/>
  <c r="E212" i="1"/>
  <c r="E140" i="1"/>
  <c r="E68" i="1"/>
  <c r="E300" i="1"/>
  <c r="E120" i="1"/>
  <c r="E312" i="1"/>
  <c r="E294" i="1"/>
  <c r="E276" i="1"/>
  <c r="E258" i="1"/>
  <c r="E240" i="1"/>
  <c r="E222" i="1"/>
  <c r="E204" i="1"/>
  <c r="E186" i="1"/>
  <c r="E168" i="1"/>
  <c r="E150" i="1"/>
  <c r="E132" i="1"/>
  <c r="E114" i="1"/>
  <c r="E96" i="1"/>
  <c r="E78" i="1"/>
  <c r="E57" i="1"/>
  <c r="E36" i="1"/>
  <c r="E14" i="1"/>
  <c r="E365" i="1"/>
  <c r="E347" i="1"/>
  <c r="E329" i="1"/>
  <c r="E311" i="1"/>
  <c r="E293" i="1"/>
  <c r="E275" i="1"/>
  <c r="E257" i="1"/>
  <c r="E239" i="1"/>
  <c r="E221" i="1"/>
  <c r="E203" i="1"/>
  <c r="E185" i="1"/>
  <c r="E167" i="1"/>
  <c r="E149" i="1"/>
  <c r="E131" i="1"/>
  <c r="E113" i="1"/>
  <c r="E95" i="1"/>
  <c r="E77" i="1"/>
  <c r="E56" i="1"/>
  <c r="E35" i="1"/>
  <c r="E11" i="1"/>
  <c r="E356" i="1"/>
  <c r="E284" i="1"/>
  <c r="E230" i="1"/>
  <c r="E158" i="1"/>
  <c r="E104" i="1"/>
  <c r="E45" i="1"/>
  <c r="E354" i="1"/>
  <c r="E318" i="1"/>
  <c r="E264" i="1"/>
  <c r="E228" i="1"/>
  <c r="E174" i="1"/>
  <c r="E84" i="1"/>
  <c r="E363" i="1"/>
  <c r="E345" i="1"/>
  <c r="E327" i="1"/>
  <c r="E309" i="1"/>
  <c r="E291" i="1"/>
  <c r="E273" i="1"/>
  <c r="E255" i="1"/>
  <c r="E237" i="1"/>
  <c r="E219" i="1"/>
  <c r="E201" i="1"/>
  <c r="E183" i="1"/>
  <c r="E165" i="1"/>
  <c r="E147" i="1"/>
  <c r="E129" i="1"/>
  <c r="E111" i="1"/>
  <c r="E93" i="1"/>
  <c r="E75" i="1"/>
  <c r="E54" i="1"/>
  <c r="E33" i="1"/>
  <c r="E9" i="1"/>
  <c r="E303" i="1"/>
  <c r="E141" i="1"/>
  <c r="E69" i="1"/>
  <c r="E102" i="1"/>
  <c r="E366" i="1"/>
  <c r="E362" i="1"/>
  <c r="E344" i="1"/>
  <c r="E326" i="1"/>
  <c r="E308" i="1"/>
  <c r="E290" i="1"/>
  <c r="E272" i="1"/>
  <c r="E254" i="1"/>
  <c r="E236" i="1"/>
  <c r="E218" i="1"/>
  <c r="E200" i="1"/>
  <c r="E182" i="1"/>
  <c r="E164" i="1"/>
  <c r="E146" i="1"/>
  <c r="E128" i="1"/>
  <c r="E110" i="1"/>
  <c r="E92" i="1"/>
  <c r="E74" i="1"/>
  <c r="E53" i="1"/>
  <c r="E32" i="1"/>
  <c r="E321" i="1"/>
  <c r="E267" i="1"/>
  <c r="E159" i="1"/>
  <c r="E87" i="1"/>
  <c r="E302" i="1"/>
  <c r="E194" i="1"/>
  <c r="E156" i="1"/>
  <c r="E348" i="1"/>
  <c r="E360" i="1"/>
  <c r="E342" i="1"/>
  <c r="E324" i="1"/>
  <c r="E306" i="1"/>
  <c r="E288" i="1"/>
  <c r="E270" i="1"/>
  <c r="E252" i="1"/>
  <c r="E234" i="1"/>
  <c r="E216" i="1"/>
  <c r="E198" i="1"/>
  <c r="E180" i="1"/>
  <c r="E162" i="1"/>
  <c r="E144" i="1"/>
  <c r="E126" i="1"/>
  <c r="E108" i="1"/>
  <c r="E90" i="1"/>
  <c r="E72" i="1"/>
  <c r="E51" i="1"/>
  <c r="E29" i="1"/>
  <c r="E249" i="1"/>
  <c r="E123" i="1"/>
  <c r="E47" i="1"/>
  <c r="E86" i="1"/>
  <c r="E210" i="1"/>
  <c r="E330" i="1"/>
  <c r="E359" i="1"/>
  <c r="E341" i="1"/>
  <c r="E323" i="1"/>
  <c r="E305" i="1"/>
  <c r="E287" i="1"/>
  <c r="E269" i="1"/>
  <c r="E251" i="1"/>
  <c r="E233" i="1"/>
  <c r="E215" i="1"/>
  <c r="E197" i="1"/>
  <c r="E179" i="1"/>
  <c r="E161" i="1"/>
  <c r="E143" i="1"/>
  <c r="E125" i="1"/>
  <c r="E107" i="1"/>
  <c r="E89" i="1"/>
  <c r="E71" i="1"/>
  <c r="E50" i="1"/>
  <c r="E27" i="1"/>
  <c r="E15" i="1"/>
  <c r="E66" i="1"/>
  <c r="E48" i="1"/>
  <c r="E30" i="1"/>
  <c r="E12" i="1"/>
  <c r="E60" i="1"/>
  <c r="E42" i="1"/>
  <c r="E367" i="1"/>
  <c r="E307" i="1"/>
  <c r="E295" i="1"/>
  <c r="E283" i="1"/>
  <c r="E271" i="1"/>
  <c r="E259" i="1"/>
  <c r="E247" i="1"/>
  <c r="E235" i="1"/>
  <c r="E223" i="1"/>
  <c r="E211" i="1"/>
  <c r="E199" i="1"/>
  <c r="E187" i="1"/>
  <c r="E175" i="1"/>
  <c r="E163" i="1"/>
  <c r="E151" i="1"/>
  <c r="E139" i="1"/>
  <c r="E127" i="1"/>
  <c r="E115" i="1"/>
  <c r="E103" i="1"/>
  <c r="E91" i="1"/>
  <c r="E79" i="1"/>
  <c r="E67" i="1"/>
  <c r="E55" i="1"/>
  <c r="E43" i="1"/>
  <c r="E31" i="1"/>
  <c r="E19" i="1"/>
  <c r="E343" i="1"/>
  <c r="E355" i="1"/>
  <c r="E331" i="1"/>
  <c r="E364" i="1"/>
  <c r="E316" i="1"/>
  <c r="E280" i="1"/>
  <c r="E256" i="1"/>
  <c r="E220" i="1"/>
  <c r="E208" i="1"/>
  <c r="E196" i="1"/>
  <c r="E184" i="1"/>
  <c r="E160" i="1"/>
  <c r="E148" i="1"/>
  <c r="E136" i="1"/>
  <c r="E124" i="1"/>
  <c r="E112" i="1"/>
  <c r="E100" i="1"/>
  <c r="E88" i="1"/>
  <c r="E76" i="1"/>
  <c r="E64" i="1"/>
  <c r="E52" i="1"/>
  <c r="E40" i="1"/>
  <c r="E28" i="1"/>
  <c r="E16" i="1"/>
  <c r="E352" i="1"/>
  <c r="E328" i="1"/>
  <c r="E292" i="1"/>
  <c r="E268" i="1"/>
  <c r="E232" i="1"/>
  <c r="E172" i="1"/>
  <c r="E319" i="1"/>
  <c r="E340" i="1"/>
  <c r="E304" i="1"/>
  <c r="E244" i="1"/>
  <c r="E349" i="1"/>
  <c r="E337" i="1"/>
  <c r="E313" i="1"/>
  <c r="E301" i="1"/>
  <c r="E289" i="1"/>
  <c r="E277" i="1"/>
  <c r="E265" i="1"/>
  <c r="E253" i="1"/>
  <c r="E241" i="1"/>
  <c r="E229" i="1"/>
  <c r="E217" i="1"/>
  <c r="E205" i="1"/>
  <c r="E193" i="1"/>
  <c r="E181" i="1"/>
  <c r="E169" i="1"/>
  <c r="E157" i="1"/>
  <c r="E145" i="1"/>
  <c r="E133" i="1"/>
  <c r="E121" i="1"/>
  <c r="E109" i="1"/>
  <c r="E97" i="1"/>
  <c r="E85" i="1"/>
  <c r="E73" i="1"/>
  <c r="E61" i="1"/>
  <c r="E49" i="1"/>
  <c r="E37" i="1"/>
  <c r="E25" i="1"/>
  <c r="E13" i="1"/>
  <c r="E325" i="1"/>
  <c r="E361" i="1"/>
  <c r="E346" i="1"/>
  <c r="E322" i="1"/>
  <c r="E310" i="1"/>
  <c r="E298" i="1"/>
  <c r="E286" i="1"/>
  <c r="E274" i="1"/>
  <c r="E262" i="1"/>
  <c r="E250" i="1"/>
  <c r="E238" i="1"/>
  <c r="E226" i="1"/>
  <c r="E214" i="1"/>
  <c r="E202" i="1"/>
  <c r="E190" i="1"/>
  <c r="E178" i="1"/>
  <c r="E166" i="1"/>
  <c r="E154" i="1"/>
  <c r="E142" i="1"/>
  <c r="E130" i="1"/>
  <c r="E118" i="1"/>
  <c r="E106" i="1"/>
  <c r="E94" i="1"/>
  <c r="E82" i="1"/>
  <c r="E70" i="1"/>
  <c r="E58" i="1"/>
  <c r="E46" i="1"/>
  <c r="E34" i="1"/>
  <c r="E22" i="1"/>
  <c r="E10" i="1"/>
  <c r="E358" i="1"/>
  <c r="B5" i="1" l="1"/>
  <c r="B4" i="1"/>
  <c r="F3" i="1" l="1"/>
  <c r="G7" i="2" s="1"/>
  <c r="B8" i="1"/>
  <c r="E5" i="1"/>
  <c r="G8" i="1" l="1"/>
  <c r="C8" i="1"/>
  <c r="D8" i="1" s="1"/>
  <c r="F8" i="1" s="1"/>
  <c r="B9" i="1" s="1"/>
  <c r="C7" i="2"/>
  <c r="F2" i="1"/>
  <c r="G9" i="1" l="1"/>
  <c r="C9" i="1"/>
  <c r="D9" i="1" l="1"/>
  <c r="F9" i="1" s="1"/>
  <c r="H8" i="1" s="1"/>
  <c r="B10" i="1" l="1"/>
  <c r="G10" i="1" s="1"/>
  <c r="C10" i="1" l="1"/>
  <c r="D10" i="1" s="1"/>
  <c r="F10" i="1" s="1"/>
  <c r="B11" i="1" s="1"/>
  <c r="G11" i="1" s="1"/>
  <c r="H9" i="1" l="1"/>
  <c r="C11" i="1"/>
  <c r="D11" i="1" s="1"/>
  <c r="F11" i="1" s="1"/>
  <c r="B12" i="1" s="1"/>
  <c r="G12" i="1" s="1"/>
  <c r="H10" i="1" l="1"/>
  <c r="C12" i="1"/>
  <c r="D12" i="1" s="1"/>
  <c r="F12" i="1" s="1"/>
  <c r="B13" i="1" s="1"/>
  <c r="G13" i="1" l="1"/>
  <c r="C13" i="1"/>
  <c r="H11" i="1"/>
  <c r="D13" i="1" l="1"/>
  <c r="F13" i="1" s="1"/>
  <c r="B14" i="1" s="1"/>
  <c r="G14" i="1" l="1"/>
  <c r="C14" i="1"/>
  <c r="D14" i="1" s="1"/>
  <c r="F14" i="1" s="1"/>
  <c r="H12" i="1"/>
  <c r="B15" i="1" l="1"/>
  <c r="H13" i="1"/>
  <c r="G15" i="1" l="1"/>
  <c r="C15" i="1"/>
  <c r="D15" i="1" s="1"/>
  <c r="F15" i="1" s="1"/>
  <c r="B16" i="1" l="1"/>
  <c r="H14" i="1"/>
  <c r="G16" i="1" l="1"/>
  <c r="C16" i="1"/>
  <c r="D16" i="1" s="1"/>
  <c r="F16" i="1" s="1"/>
  <c r="B17" i="1" l="1"/>
  <c r="H15" i="1"/>
  <c r="G17" i="1" l="1"/>
  <c r="C17" i="1"/>
  <c r="D17" i="1" s="1"/>
  <c r="F17" i="1" s="1"/>
  <c r="B18" i="1" l="1"/>
  <c r="H16" i="1"/>
  <c r="G18" i="1" l="1"/>
  <c r="C18" i="1"/>
  <c r="D18" i="1" s="1"/>
  <c r="F18" i="1" s="1"/>
  <c r="B19" i="1" l="1"/>
  <c r="H17" i="1"/>
  <c r="G19" i="1" l="1"/>
  <c r="C19" i="1"/>
  <c r="D19" i="1" s="1"/>
  <c r="F19" i="1" s="1"/>
  <c r="B20" i="1" l="1"/>
  <c r="H18" i="1"/>
  <c r="G20" i="1" l="1"/>
  <c r="C20" i="1"/>
  <c r="D20" i="1" s="1"/>
  <c r="F20" i="1" s="1"/>
  <c r="B21" i="1" l="1"/>
  <c r="H19" i="1"/>
  <c r="G21" i="1" l="1"/>
  <c r="C21" i="1"/>
  <c r="D21" i="1" s="1"/>
  <c r="F21" i="1" s="1"/>
  <c r="B22" i="1" l="1"/>
  <c r="H20" i="1"/>
  <c r="G22" i="1" l="1"/>
  <c r="C22" i="1"/>
  <c r="D22" i="1" s="1"/>
  <c r="F22" i="1" s="1"/>
  <c r="B23" i="1" l="1"/>
  <c r="H21" i="1"/>
  <c r="G23" i="1" l="1"/>
  <c r="C23" i="1"/>
  <c r="D23" i="1" s="1"/>
  <c r="F23" i="1" s="1"/>
  <c r="B24" i="1" l="1"/>
  <c r="H22" i="1"/>
  <c r="G24" i="1" l="1"/>
  <c r="C24" i="1"/>
  <c r="D24" i="1" s="1"/>
  <c r="F24" i="1" s="1"/>
  <c r="B25" i="1" l="1"/>
  <c r="H23" i="1"/>
  <c r="G25" i="1" l="1"/>
  <c r="C25" i="1"/>
  <c r="D25" i="1" s="1"/>
  <c r="F25" i="1" s="1"/>
  <c r="B26" i="1" l="1"/>
  <c r="H24" i="1"/>
  <c r="G26" i="1" l="1"/>
  <c r="C26" i="1"/>
  <c r="D26" i="1" s="1"/>
  <c r="F26" i="1" s="1"/>
  <c r="B27" i="1" l="1"/>
  <c r="H25" i="1"/>
  <c r="G27" i="1" l="1"/>
  <c r="C27" i="1"/>
  <c r="D27" i="1" s="1"/>
  <c r="F27" i="1" s="1"/>
  <c r="B28" i="1" l="1"/>
  <c r="H26" i="1"/>
  <c r="G28" i="1" l="1"/>
  <c r="C28" i="1"/>
  <c r="D28" i="1" s="1"/>
  <c r="F28" i="1" s="1"/>
  <c r="B29" i="1" l="1"/>
  <c r="H27" i="1"/>
  <c r="G29" i="1" l="1"/>
  <c r="C29" i="1"/>
  <c r="D29" i="1" s="1"/>
  <c r="F29" i="1" s="1"/>
  <c r="B30" i="1" l="1"/>
  <c r="H28" i="1"/>
  <c r="G30" i="1" l="1"/>
  <c r="C30" i="1"/>
  <c r="D30" i="1" s="1"/>
  <c r="F30" i="1" s="1"/>
  <c r="B31" i="1" l="1"/>
  <c r="H29" i="1"/>
  <c r="G31" i="1" l="1"/>
  <c r="C31" i="1"/>
  <c r="D31" i="1" s="1"/>
  <c r="F31" i="1" s="1"/>
  <c r="B32" i="1" l="1"/>
  <c r="H30" i="1"/>
  <c r="G32" i="1" l="1"/>
  <c r="C32" i="1"/>
  <c r="D32" i="1" s="1"/>
  <c r="F32" i="1" s="1"/>
  <c r="B33" i="1" l="1"/>
  <c r="H31" i="1"/>
  <c r="G33" i="1" l="1"/>
  <c r="C33" i="1"/>
  <c r="D33" i="1" s="1"/>
  <c r="F33" i="1" s="1"/>
  <c r="B34" i="1" l="1"/>
  <c r="H32" i="1"/>
  <c r="G34" i="1" l="1"/>
  <c r="C34" i="1"/>
  <c r="D34" i="1" s="1"/>
  <c r="F34" i="1" s="1"/>
  <c r="B35" i="1" l="1"/>
  <c r="H33" i="1"/>
  <c r="G35" i="1" l="1"/>
  <c r="C35" i="1"/>
  <c r="D35" i="1" s="1"/>
  <c r="F35" i="1" s="1"/>
  <c r="B36" i="1" l="1"/>
  <c r="H34" i="1"/>
  <c r="G36" i="1" l="1"/>
  <c r="C36" i="1"/>
  <c r="D36" i="1" s="1"/>
  <c r="F36" i="1" s="1"/>
  <c r="B37" i="1" l="1"/>
  <c r="H35" i="1"/>
  <c r="G37" i="1" l="1"/>
  <c r="C37" i="1"/>
  <c r="D37" i="1" s="1"/>
  <c r="F37" i="1" s="1"/>
  <c r="B38" i="1" l="1"/>
  <c r="H36" i="1"/>
  <c r="G38" i="1" l="1"/>
  <c r="C38" i="1"/>
  <c r="D38" i="1" s="1"/>
  <c r="F38" i="1" s="1"/>
  <c r="B39" i="1" l="1"/>
  <c r="H37" i="1"/>
  <c r="G39" i="1" l="1"/>
  <c r="C39" i="1"/>
  <c r="D39" i="1" s="1"/>
  <c r="F39" i="1" s="1"/>
  <c r="B40" i="1" l="1"/>
  <c r="H38" i="1"/>
  <c r="G40" i="1" l="1"/>
  <c r="C40" i="1"/>
  <c r="D40" i="1" s="1"/>
  <c r="F40" i="1" s="1"/>
  <c r="B41" i="1" l="1"/>
  <c r="H39" i="1"/>
  <c r="G41" i="1" l="1"/>
  <c r="C41" i="1"/>
  <c r="D41" i="1" s="1"/>
  <c r="F41" i="1" s="1"/>
  <c r="B42" i="1" l="1"/>
  <c r="H40" i="1"/>
  <c r="G42" i="1" l="1"/>
  <c r="C42" i="1"/>
  <c r="D42" i="1" s="1"/>
  <c r="F42" i="1" s="1"/>
  <c r="B43" i="1" l="1"/>
  <c r="H41" i="1"/>
  <c r="G43" i="1" l="1"/>
  <c r="C43" i="1"/>
  <c r="D43" i="1" s="1"/>
  <c r="F43" i="1" s="1"/>
  <c r="B44" i="1" l="1"/>
  <c r="H42" i="1"/>
  <c r="G44" i="1" l="1"/>
  <c r="C44" i="1"/>
  <c r="D44" i="1" s="1"/>
  <c r="F44" i="1" s="1"/>
  <c r="B45" i="1" l="1"/>
  <c r="H43" i="1"/>
  <c r="G45" i="1" l="1"/>
  <c r="C45" i="1"/>
  <c r="D45" i="1" s="1"/>
  <c r="F45" i="1" s="1"/>
  <c r="B46" i="1" l="1"/>
  <c r="H44" i="1"/>
  <c r="G46" i="1" l="1"/>
  <c r="C46" i="1"/>
  <c r="D46" i="1" s="1"/>
  <c r="F46" i="1" s="1"/>
  <c r="B47" i="1" l="1"/>
  <c r="H45" i="1"/>
  <c r="G47" i="1" l="1"/>
  <c r="C47" i="1"/>
  <c r="D47" i="1" s="1"/>
  <c r="F47" i="1" s="1"/>
  <c r="B48" i="1" l="1"/>
  <c r="H46" i="1"/>
  <c r="G48" i="1" l="1"/>
  <c r="C48" i="1"/>
  <c r="D48" i="1" s="1"/>
  <c r="F48" i="1" s="1"/>
  <c r="B49" i="1" l="1"/>
  <c r="H47" i="1"/>
  <c r="G49" i="1" l="1"/>
  <c r="C49" i="1"/>
  <c r="D49" i="1" s="1"/>
  <c r="F49" i="1" s="1"/>
  <c r="B50" i="1" l="1"/>
  <c r="H48" i="1"/>
  <c r="G50" i="1" l="1"/>
  <c r="C50" i="1"/>
  <c r="D50" i="1" s="1"/>
  <c r="F50" i="1" s="1"/>
  <c r="B51" i="1" l="1"/>
  <c r="H49" i="1"/>
  <c r="G51" i="1" l="1"/>
  <c r="C51" i="1"/>
  <c r="D51" i="1" s="1"/>
  <c r="F51" i="1" s="1"/>
  <c r="B52" i="1" l="1"/>
  <c r="H50" i="1"/>
  <c r="G52" i="1" l="1"/>
  <c r="C52" i="1"/>
  <c r="D52" i="1" s="1"/>
  <c r="F52" i="1" s="1"/>
  <c r="B53" i="1" l="1"/>
  <c r="H51" i="1"/>
  <c r="G53" i="1" l="1"/>
  <c r="C53" i="1"/>
  <c r="D53" i="1" s="1"/>
  <c r="F53" i="1" s="1"/>
  <c r="B54" i="1" l="1"/>
  <c r="H52" i="1"/>
  <c r="G54" i="1" l="1"/>
  <c r="C54" i="1"/>
  <c r="D54" i="1" s="1"/>
  <c r="F54" i="1" s="1"/>
  <c r="B55" i="1" l="1"/>
  <c r="H53" i="1"/>
  <c r="G55" i="1" l="1"/>
  <c r="C55" i="1"/>
  <c r="D55" i="1" s="1"/>
  <c r="F55" i="1" s="1"/>
  <c r="B56" i="1" l="1"/>
  <c r="H54" i="1"/>
  <c r="G56" i="1" l="1"/>
  <c r="C56" i="1"/>
  <c r="D56" i="1" s="1"/>
  <c r="F56" i="1" s="1"/>
  <c r="B57" i="1" l="1"/>
  <c r="H55" i="1"/>
  <c r="G57" i="1" l="1"/>
  <c r="C57" i="1"/>
  <c r="D57" i="1" s="1"/>
  <c r="F57" i="1" s="1"/>
  <c r="B58" i="1" l="1"/>
  <c r="H56" i="1"/>
  <c r="G58" i="1" l="1"/>
  <c r="C58" i="1"/>
  <c r="D58" i="1" s="1"/>
  <c r="F58" i="1" s="1"/>
  <c r="B59" i="1" l="1"/>
  <c r="H57" i="1"/>
  <c r="G59" i="1" l="1"/>
  <c r="C59" i="1"/>
  <c r="D59" i="1" s="1"/>
  <c r="F59" i="1" s="1"/>
  <c r="B60" i="1" l="1"/>
  <c r="H58" i="1"/>
  <c r="G60" i="1" l="1"/>
  <c r="C60" i="1"/>
  <c r="D60" i="1" s="1"/>
  <c r="F60" i="1" s="1"/>
  <c r="B61" i="1" l="1"/>
  <c r="H59" i="1"/>
  <c r="G61" i="1" l="1"/>
  <c r="C61" i="1"/>
  <c r="D61" i="1" s="1"/>
  <c r="F61" i="1" s="1"/>
  <c r="B62" i="1" l="1"/>
  <c r="H60" i="1"/>
  <c r="G62" i="1" l="1"/>
  <c r="C62" i="1"/>
  <c r="D62" i="1" s="1"/>
  <c r="F62" i="1" s="1"/>
  <c r="B63" i="1" l="1"/>
  <c r="H61" i="1"/>
  <c r="G63" i="1" l="1"/>
  <c r="C63" i="1"/>
  <c r="D63" i="1" s="1"/>
  <c r="F63" i="1" s="1"/>
  <c r="B64" i="1" l="1"/>
  <c r="H62" i="1"/>
  <c r="G64" i="1" l="1"/>
  <c r="C64" i="1"/>
  <c r="D64" i="1" s="1"/>
  <c r="F64" i="1" s="1"/>
  <c r="B65" i="1" l="1"/>
  <c r="H63" i="1"/>
  <c r="G65" i="1" l="1"/>
  <c r="C65" i="1"/>
  <c r="D65" i="1" s="1"/>
  <c r="F65" i="1" s="1"/>
  <c r="B66" i="1" l="1"/>
  <c r="H64" i="1"/>
  <c r="G66" i="1" l="1"/>
  <c r="C66" i="1"/>
  <c r="D66" i="1" s="1"/>
  <c r="F66" i="1" s="1"/>
  <c r="B67" i="1" l="1"/>
  <c r="H65" i="1"/>
  <c r="G67" i="1" l="1"/>
  <c r="C67" i="1"/>
  <c r="D67" i="1" s="1"/>
  <c r="F67" i="1" s="1"/>
  <c r="B68" i="1" l="1"/>
  <c r="H66" i="1"/>
  <c r="G68" i="1" l="1"/>
  <c r="C68" i="1"/>
  <c r="D68" i="1" s="1"/>
  <c r="F68" i="1" s="1"/>
  <c r="B69" i="1" l="1"/>
  <c r="H67" i="1"/>
  <c r="G69" i="1" l="1"/>
  <c r="C69" i="1"/>
  <c r="D69" i="1" s="1"/>
  <c r="F69" i="1" s="1"/>
  <c r="B70" i="1" l="1"/>
  <c r="H68" i="1"/>
  <c r="G70" i="1" l="1"/>
  <c r="C70" i="1"/>
  <c r="D70" i="1" s="1"/>
  <c r="F70" i="1" s="1"/>
  <c r="B71" i="1" l="1"/>
  <c r="H69" i="1"/>
  <c r="G71" i="1" l="1"/>
  <c r="C71" i="1"/>
  <c r="D71" i="1" s="1"/>
  <c r="F71" i="1" s="1"/>
  <c r="B72" i="1" l="1"/>
  <c r="H70" i="1"/>
  <c r="G72" i="1" l="1"/>
  <c r="C72" i="1"/>
  <c r="D72" i="1" s="1"/>
  <c r="F72" i="1" s="1"/>
  <c r="B73" i="1" l="1"/>
  <c r="H71" i="1"/>
  <c r="G73" i="1" l="1"/>
  <c r="C73" i="1"/>
  <c r="D73" i="1" s="1"/>
  <c r="F73" i="1" s="1"/>
  <c r="B74" i="1" l="1"/>
  <c r="H72" i="1"/>
  <c r="G74" i="1" l="1"/>
  <c r="C74" i="1"/>
  <c r="D74" i="1" s="1"/>
  <c r="F74" i="1" s="1"/>
  <c r="B75" i="1" l="1"/>
  <c r="H73" i="1"/>
  <c r="G75" i="1" l="1"/>
  <c r="C75" i="1"/>
  <c r="D75" i="1" s="1"/>
  <c r="F75" i="1" s="1"/>
  <c r="B76" i="1" l="1"/>
  <c r="H74" i="1"/>
  <c r="G76" i="1" l="1"/>
  <c r="C76" i="1"/>
  <c r="D76" i="1" s="1"/>
  <c r="F76" i="1" s="1"/>
  <c r="B77" i="1" l="1"/>
  <c r="H75" i="1"/>
  <c r="G77" i="1" l="1"/>
  <c r="C77" i="1"/>
  <c r="D77" i="1" s="1"/>
  <c r="F77" i="1" s="1"/>
  <c r="B78" i="1" l="1"/>
  <c r="H76" i="1"/>
  <c r="G78" i="1" l="1"/>
  <c r="C78" i="1"/>
  <c r="D78" i="1" s="1"/>
  <c r="F78" i="1" s="1"/>
  <c r="B79" i="1" l="1"/>
  <c r="H77" i="1"/>
  <c r="G79" i="1" l="1"/>
  <c r="C79" i="1"/>
  <c r="D79" i="1" s="1"/>
  <c r="F79" i="1" s="1"/>
  <c r="B80" i="1" l="1"/>
  <c r="H78" i="1"/>
  <c r="G80" i="1" l="1"/>
  <c r="C80" i="1"/>
  <c r="D80" i="1" s="1"/>
  <c r="F80" i="1" s="1"/>
  <c r="B81" i="1" l="1"/>
  <c r="H79" i="1"/>
  <c r="G81" i="1" l="1"/>
  <c r="C81" i="1"/>
  <c r="D81" i="1" s="1"/>
  <c r="F81" i="1" s="1"/>
  <c r="B82" i="1" l="1"/>
  <c r="H80" i="1"/>
  <c r="G82" i="1" l="1"/>
  <c r="C82" i="1"/>
  <c r="D82" i="1" s="1"/>
  <c r="F82" i="1" s="1"/>
  <c r="B83" i="1" l="1"/>
  <c r="H81" i="1"/>
  <c r="G83" i="1" l="1"/>
  <c r="C83" i="1"/>
  <c r="D83" i="1" s="1"/>
  <c r="F83" i="1" s="1"/>
  <c r="B84" i="1" l="1"/>
  <c r="H82" i="1"/>
  <c r="G84" i="1" l="1"/>
  <c r="C84" i="1"/>
  <c r="D84" i="1" s="1"/>
  <c r="F84" i="1" s="1"/>
  <c r="B85" i="1" l="1"/>
  <c r="H83" i="1"/>
  <c r="G85" i="1" l="1"/>
  <c r="C85" i="1"/>
  <c r="D85" i="1" s="1"/>
  <c r="F85" i="1" s="1"/>
  <c r="B86" i="1" l="1"/>
  <c r="H84" i="1"/>
  <c r="G86" i="1" l="1"/>
  <c r="C86" i="1"/>
  <c r="D86" i="1" s="1"/>
  <c r="F86" i="1" s="1"/>
  <c r="B87" i="1" l="1"/>
  <c r="H85" i="1"/>
  <c r="G87" i="1" l="1"/>
  <c r="C87" i="1"/>
  <c r="D87" i="1" s="1"/>
  <c r="F87" i="1" s="1"/>
  <c r="B88" i="1" l="1"/>
  <c r="H86" i="1"/>
  <c r="G88" i="1" l="1"/>
  <c r="C88" i="1"/>
  <c r="D88" i="1" s="1"/>
  <c r="F88" i="1" s="1"/>
  <c r="B89" i="1" l="1"/>
  <c r="H87" i="1"/>
  <c r="G89" i="1" l="1"/>
  <c r="C89" i="1"/>
  <c r="D89" i="1" s="1"/>
  <c r="F89" i="1" s="1"/>
  <c r="B90" i="1" l="1"/>
  <c r="H88" i="1"/>
  <c r="G90" i="1" l="1"/>
  <c r="C90" i="1"/>
  <c r="D90" i="1" s="1"/>
  <c r="F90" i="1" s="1"/>
  <c r="B91" i="1" l="1"/>
  <c r="H89" i="1"/>
  <c r="G91" i="1" l="1"/>
  <c r="C91" i="1"/>
  <c r="D91" i="1" s="1"/>
  <c r="F91" i="1" s="1"/>
  <c r="B92" i="1" l="1"/>
  <c r="H90" i="1"/>
  <c r="G92" i="1" l="1"/>
  <c r="C92" i="1"/>
  <c r="D92" i="1" s="1"/>
  <c r="F92" i="1" s="1"/>
  <c r="B93" i="1" l="1"/>
  <c r="H91" i="1"/>
  <c r="G93" i="1" l="1"/>
  <c r="C93" i="1"/>
  <c r="D93" i="1" s="1"/>
  <c r="F93" i="1" s="1"/>
  <c r="B94" i="1" l="1"/>
  <c r="H92" i="1"/>
  <c r="G94" i="1" l="1"/>
  <c r="C94" i="1"/>
  <c r="D94" i="1" s="1"/>
  <c r="F94" i="1" s="1"/>
  <c r="B95" i="1" l="1"/>
  <c r="H93" i="1"/>
  <c r="G95" i="1" l="1"/>
  <c r="C95" i="1"/>
  <c r="D95" i="1" s="1"/>
  <c r="F95" i="1" s="1"/>
  <c r="B96" i="1" l="1"/>
  <c r="H94" i="1"/>
  <c r="G96" i="1" l="1"/>
  <c r="C96" i="1"/>
  <c r="D96" i="1" s="1"/>
  <c r="F96" i="1" s="1"/>
  <c r="B97" i="1" l="1"/>
  <c r="H95" i="1"/>
  <c r="G97" i="1" l="1"/>
  <c r="C97" i="1"/>
  <c r="D97" i="1" s="1"/>
  <c r="F97" i="1" s="1"/>
  <c r="B98" i="1" l="1"/>
  <c r="H96" i="1"/>
  <c r="G98" i="1" l="1"/>
  <c r="C98" i="1"/>
  <c r="D98" i="1" s="1"/>
  <c r="F98" i="1" s="1"/>
  <c r="B99" i="1" l="1"/>
  <c r="H97" i="1"/>
  <c r="G99" i="1" l="1"/>
  <c r="C99" i="1"/>
  <c r="D99" i="1" s="1"/>
  <c r="F99" i="1" s="1"/>
  <c r="B100" i="1" l="1"/>
  <c r="H98" i="1"/>
  <c r="G100" i="1" l="1"/>
  <c r="C100" i="1"/>
  <c r="D100" i="1" s="1"/>
  <c r="F100" i="1" s="1"/>
  <c r="B101" i="1" l="1"/>
  <c r="H99" i="1"/>
  <c r="G101" i="1" l="1"/>
  <c r="C101" i="1"/>
  <c r="D101" i="1" s="1"/>
  <c r="F101" i="1" s="1"/>
  <c r="B102" i="1" l="1"/>
  <c r="H100" i="1"/>
  <c r="G102" i="1" l="1"/>
  <c r="C102" i="1"/>
  <c r="D102" i="1" s="1"/>
  <c r="F102" i="1" s="1"/>
  <c r="B103" i="1" l="1"/>
  <c r="H101" i="1"/>
  <c r="G103" i="1" l="1"/>
  <c r="C103" i="1"/>
  <c r="D103" i="1" s="1"/>
  <c r="F103" i="1" s="1"/>
  <c r="B104" i="1" l="1"/>
  <c r="H102" i="1"/>
  <c r="G104" i="1" l="1"/>
  <c r="C104" i="1"/>
  <c r="D104" i="1" s="1"/>
  <c r="F104" i="1" s="1"/>
  <c r="B105" i="1" l="1"/>
  <c r="H103" i="1"/>
  <c r="G105" i="1" l="1"/>
  <c r="C105" i="1"/>
  <c r="D105" i="1" s="1"/>
  <c r="F105" i="1" s="1"/>
  <c r="B106" i="1" l="1"/>
  <c r="H104" i="1"/>
  <c r="G106" i="1" l="1"/>
  <c r="C106" i="1"/>
  <c r="D106" i="1" s="1"/>
  <c r="F106" i="1" s="1"/>
  <c r="B107" i="1" l="1"/>
  <c r="H105" i="1"/>
  <c r="G107" i="1" l="1"/>
  <c r="C107" i="1"/>
  <c r="D107" i="1" s="1"/>
  <c r="F107" i="1" s="1"/>
  <c r="B108" i="1" l="1"/>
  <c r="H106" i="1"/>
  <c r="G108" i="1" l="1"/>
  <c r="C108" i="1"/>
  <c r="D108" i="1" s="1"/>
  <c r="F108" i="1" s="1"/>
  <c r="B109" i="1" l="1"/>
  <c r="H107" i="1"/>
  <c r="G109" i="1" l="1"/>
  <c r="C109" i="1"/>
  <c r="D109" i="1" s="1"/>
  <c r="F109" i="1" s="1"/>
  <c r="B110" i="1" l="1"/>
  <c r="H108" i="1"/>
  <c r="G110" i="1" l="1"/>
  <c r="C110" i="1"/>
  <c r="D110" i="1" s="1"/>
  <c r="F110" i="1" s="1"/>
  <c r="B111" i="1" l="1"/>
  <c r="H109" i="1"/>
  <c r="G111" i="1" l="1"/>
  <c r="C111" i="1"/>
  <c r="D111" i="1" s="1"/>
  <c r="F111" i="1" s="1"/>
  <c r="B112" i="1" l="1"/>
  <c r="H110" i="1"/>
  <c r="G112" i="1" l="1"/>
  <c r="C112" i="1"/>
  <c r="D112" i="1" s="1"/>
  <c r="F112" i="1" s="1"/>
  <c r="B113" i="1" l="1"/>
  <c r="H111" i="1"/>
  <c r="G113" i="1" l="1"/>
  <c r="C113" i="1"/>
  <c r="D113" i="1" s="1"/>
  <c r="F113" i="1" s="1"/>
  <c r="B114" i="1" l="1"/>
  <c r="H112" i="1"/>
  <c r="G114" i="1" l="1"/>
  <c r="C114" i="1"/>
  <c r="D114" i="1" s="1"/>
  <c r="F114" i="1" s="1"/>
  <c r="B115" i="1" l="1"/>
  <c r="H113" i="1"/>
  <c r="G115" i="1" l="1"/>
  <c r="C115" i="1"/>
  <c r="D115" i="1" s="1"/>
  <c r="F115" i="1" s="1"/>
  <c r="B116" i="1" l="1"/>
  <c r="H114" i="1"/>
  <c r="G116" i="1" l="1"/>
  <c r="C116" i="1"/>
  <c r="D116" i="1" s="1"/>
  <c r="F116" i="1" s="1"/>
  <c r="B117" i="1" l="1"/>
  <c r="H115" i="1"/>
  <c r="G117" i="1" l="1"/>
  <c r="C117" i="1"/>
  <c r="D117" i="1" s="1"/>
  <c r="F117" i="1" s="1"/>
  <c r="B118" i="1" l="1"/>
  <c r="H116" i="1"/>
  <c r="G118" i="1" l="1"/>
  <c r="C118" i="1"/>
  <c r="D118" i="1" s="1"/>
  <c r="F118" i="1" s="1"/>
  <c r="B119" i="1" l="1"/>
  <c r="H117" i="1"/>
  <c r="G119" i="1" l="1"/>
  <c r="C119" i="1"/>
  <c r="D119" i="1" s="1"/>
  <c r="F119" i="1" s="1"/>
  <c r="B120" i="1" l="1"/>
  <c r="H118" i="1"/>
  <c r="G120" i="1" l="1"/>
  <c r="C120" i="1"/>
  <c r="D120" i="1" s="1"/>
  <c r="F120" i="1" s="1"/>
  <c r="B121" i="1" l="1"/>
  <c r="H119" i="1"/>
  <c r="G121" i="1" l="1"/>
  <c r="C121" i="1"/>
  <c r="D121" i="1" s="1"/>
  <c r="F121" i="1" s="1"/>
  <c r="B122" i="1" l="1"/>
  <c r="H120" i="1"/>
  <c r="G122" i="1" l="1"/>
  <c r="C122" i="1"/>
  <c r="D122" i="1" s="1"/>
  <c r="F122" i="1" s="1"/>
  <c r="B123" i="1" l="1"/>
  <c r="H121" i="1"/>
  <c r="G123" i="1" l="1"/>
  <c r="C123" i="1"/>
  <c r="D123" i="1" s="1"/>
  <c r="F123" i="1" s="1"/>
  <c r="B124" i="1" l="1"/>
  <c r="H122" i="1"/>
  <c r="G124" i="1" l="1"/>
  <c r="C124" i="1"/>
  <c r="D124" i="1" s="1"/>
  <c r="F124" i="1" s="1"/>
  <c r="B125" i="1" l="1"/>
  <c r="H123" i="1"/>
  <c r="G125" i="1" l="1"/>
  <c r="C125" i="1"/>
  <c r="D125" i="1" s="1"/>
  <c r="F125" i="1" s="1"/>
  <c r="B126" i="1" l="1"/>
  <c r="H124" i="1"/>
  <c r="G126" i="1" l="1"/>
  <c r="C126" i="1"/>
  <c r="D126" i="1" s="1"/>
  <c r="F126" i="1" s="1"/>
  <c r="B127" i="1" l="1"/>
  <c r="H125" i="1"/>
  <c r="G127" i="1" l="1"/>
  <c r="C127" i="1"/>
  <c r="D127" i="1" s="1"/>
  <c r="F127" i="1" s="1"/>
  <c r="B128" i="1" l="1"/>
  <c r="H126" i="1"/>
  <c r="G128" i="1" l="1"/>
  <c r="C128" i="1"/>
  <c r="D128" i="1" s="1"/>
  <c r="F128" i="1" s="1"/>
  <c r="B129" i="1" l="1"/>
  <c r="H127" i="1"/>
  <c r="G129" i="1" l="1"/>
  <c r="C129" i="1"/>
  <c r="D129" i="1" s="1"/>
  <c r="F129" i="1" s="1"/>
  <c r="B130" i="1" l="1"/>
  <c r="H128" i="1"/>
  <c r="G130" i="1" l="1"/>
  <c r="C130" i="1"/>
  <c r="D130" i="1" s="1"/>
  <c r="F130" i="1" s="1"/>
  <c r="B131" i="1" l="1"/>
  <c r="H129" i="1"/>
  <c r="G131" i="1" l="1"/>
  <c r="C131" i="1"/>
  <c r="D131" i="1" s="1"/>
  <c r="F131" i="1" s="1"/>
  <c r="B132" i="1" l="1"/>
  <c r="H130" i="1"/>
  <c r="G132" i="1" l="1"/>
  <c r="C132" i="1"/>
  <c r="D132" i="1" s="1"/>
  <c r="F132" i="1" s="1"/>
  <c r="B133" i="1" l="1"/>
  <c r="H131" i="1"/>
  <c r="G133" i="1" l="1"/>
  <c r="C133" i="1"/>
  <c r="D133" i="1" s="1"/>
  <c r="F133" i="1" s="1"/>
  <c r="B134" i="1" l="1"/>
  <c r="H132" i="1"/>
  <c r="G134" i="1" l="1"/>
  <c r="C134" i="1"/>
  <c r="D134" i="1" s="1"/>
  <c r="F134" i="1" s="1"/>
  <c r="B135" i="1" l="1"/>
  <c r="H133" i="1"/>
  <c r="G135" i="1" l="1"/>
  <c r="C135" i="1"/>
  <c r="D135" i="1" s="1"/>
  <c r="F135" i="1" s="1"/>
  <c r="B136" i="1" l="1"/>
  <c r="H134" i="1"/>
  <c r="G136" i="1" l="1"/>
  <c r="C136" i="1"/>
  <c r="D136" i="1" s="1"/>
  <c r="F136" i="1" s="1"/>
  <c r="B137" i="1" l="1"/>
  <c r="H135" i="1"/>
  <c r="G137" i="1" l="1"/>
  <c r="C137" i="1"/>
  <c r="D137" i="1" s="1"/>
  <c r="F137" i="1" s="1"/>
  <c r="B138" i="1" l="1"/>
  <c r="H136" i="1"/>
  <c r="G138" i="1" l="1"/>
  <c r="C138" i="1"/>
  <c r="D138" i="1" s="1"/>
  <c r="F138" i="1" s="1"/>
  <c r="B139" i="1" l="1"/>
  <c r="H137" i="1"/>
  <c r="G139" i="1" l="1"/>
  <c r="C139" i="1"/>
  <c r="D139" i="1" s="1"/>
  <c r="F139" i="1" s="1"/>
  <c r="B140" i="1" l="1"/>
  <c r="H138" i="1"/>
  <c r="G140" i="1" l="1"/>
  <c r="C140" i="1"/>
  <c r="D140" i="1" s="1"/>
  <c r="F140" i="1" s="1"/>
  <c r="B141" i="1" l="1"/>
  <c r="H139" i="1"/>
  <c r="G141" i="1" l="1"/>
  <c r="C141" i="1"/>
  <c r="D141" i="1" s="1"/>
  <c r="F141" i="1" s="1"/>
  <c r="B142" i="1" l="1"/>
  <c r="H140" i="1"/>
  <c r="G142" i="1" l="1"/>
  <c r="C142" i="1"/>
  <c r="D142" i="1" s="1"/>
  <c r="F142" i="1" s="1"/>
  <c r="B143" i="1" l="1"/>
  <c r="H141" i="1"/>
  <c r="G143" i="1" l="1"/>
  <c r="C143" i="1"/>
  <c r="D143" i="1" s="1"/>
  <c r="F143" i="1" s="1"/>
  <c r="B144" i="1" l="1"/>
  <c r="H142" i="1"/>
  <c r="G144" i="1" l="1"/>
  <c r="C144" i="1"/>
  <c r="D144" i="1" s="1"/>
  <c r="F144" i="1" s="1"/>
  <c r="B145" i="1" l="1"/>
  <c r="H143" i="1"/>
  <c r="G145" i="1" l="1"/>
  <c r="C145" i="1"/>
  <c r="D145" i="1" s="1"/>
  <c r="F145" i="1" s="1"/>
  <c r="B146" i="1" l="1"/>
  <c r="H144" i="1"/>
  <c r="G146" i="1" l="1"/>
  <c r="C146" i="1"/>
  <c r="D146" i="1" s="1"/>
  <c r="F146" i="1" s="1"/>
  <c r="B147" i="1" l="1"/>
  <c r="H145" i="1"/>
  <c r="G147" i="1" l="1"/>
  <c r="C147" i="1"/>
  <c r="D147" i="1" s="1"/>
  <c r="F147" i="1" s="1"/>
  <c r="B148" i="1" l="1"/>
  <c r="H146" i="1"/>
  <c r="G148" i="1" l="1"/>
  <c r="C148" i="1"/>
  <c r="D148" i="1" s="1"/>
  <c r="F148" i="1" s="1"/>
  <c r="B149" i="1" l="1"/>
  <c r="H147" i="1"/>
  <c r="G149" i="1" l="1"/>
  <c r="C149" i="1"/>
  <c r="D149" i="1" s="1"/>
  <c r="F149" i="1" s="1"/>
  <c r="B150" i="1" l="1"/>
  <c r="H148" i="1"/>
  <c r="G150" i="1" l="1"/>
  <c r="C150" i="1"/>
  <c r="D150" i="1" s="1"/>
  <c r="F150" i="1" s="1"/>
  <c r="B151" i="1" l="1"/>
  <c r="H149" i="1"/>
  <c r="G151" i="1" l="1"/>
  <c r="C151" i="1"/>
  <c r="D151" i="1" s="1"/>
  <c r="F151" i="1" s="1"/>
  <c r="B152" i="1" l="1"/>
  <c r="H150" i="1"/>
  <c r="G152" i="1" l="1"/>
  <c r="C152" i="1"/>
  <c r="D152" i="1" s="1"/>
  <c r="F152" i="1" s="1"/>
  <c r="B153" i="1" l="1"/>
  <c r="H151" i="1"/>
  <c r="G153" i="1" l="1"/>
  <c r="C153" i="1"/>
  <c r="D153" i="1" s="1"/>
  <c r="F153" i="1" s="1"/>
  <c r="B154" i="1" l="1"/>
  <c r="H152" i="1"/>
  <c r="G154" i="1" l="1"/>
  <c r="C154" i="1"/>
  <c r="D154" i="1" s="1"/>
  <c r="F154" i="1" s="1"/>
  <c r="B155" i="1" l="1"/>
  <c r="H153" i="1"/>
  <c r="G155" i="1" l="1"/>
  <c r="C155" i="1"/>
  <c r="D155" i="1" s="1"/>
  <c r="F155" i="1" s="1"/>
  <c r="B156" i="1" l="1"/>
  <c r="H154" i="1"/>
  <c r="G156" i="1" l="1"/>
  <c r="C156" i="1"/>
  <c r="D156" i="1" s="1"/>
  <c r="F156" i="1" s="1"/>
  <c r="B157" i="1" l="1"/>
  <c r="H155" i="1"/>
  <c r="G157" i="1" l="1"/>
  <c r="C157" i="1"/>
  <c r="D157" i="1" s="1"/>
  <c r="F157" i="1" s="1"/>
  <c r="B158" i="1" l="1"/>
  <c r="H156" i="1"/>
  <c r="G158" i="1" l="1"/>
  <c r="C158" i="1"/>
  <c r="D158" i="1" s="1"/>
  <c r="F158" i="1" s="1"/>
  <c r="B159" i="1" l="1"/>
  <c r="H157" i="1"/>
  <c r="G159" i="1" l="1"/>
  <c r="C159" i="1"/>
  <c r="D159" i="1" s="1"/>
  <c r="F159" i="1" s="1"/>
  <c r="B160" i="1" l="1"/>
  <c r="H158" i="1"/>
  <c r="G160" i="1" l="1"/>
  <c r="C160" i="1"/>
  <c r="D160" i="1" s="1"/>
  <c r="F160" i="1" s="1"/>
  <c r="B161" i="1" l="1"/>
  <c r="H159" i="1"/>
  <c r="G161" i="1" l="1"/>
  <c r="C161" i="1"/>
  <c r="D161" i="1" s="1"/>
  <c r="F161" i="1" s="1"/>
  <c r="B162" i="1" l="1"/>
  <c r="H160" i="1"/>
  <c r="G162" i="1" l="1"/>
  <c r="C162" i="1"/>
  <c r="D162" i="1" s="1"/>
  <c r="F162" i="1" s="1"/>
  <c r="B163" i="1" l="1"/>
  <c r="H161" i="1"/>
  <c r="G163" i="1" l="1"/>
  <c r="C163" i="1"/>
  <c r="D163" i="1" s="1"/>
  <c r="F163" i="1" s="1"/>
  <c r="B164" i="1" l="1"/>
  <c r="H162" i="1"/>
  <c r="G164" i="1" l="1"/>
  <c r="C164" i="1"/>
  <c r="D164" i="1" s="1"/>
  <c r="F164" i="1" s="1"/>
  <c r="B165" i="1" l="1"/>
  <c r="H163" i="1"/>
  <c r="G165" i="1" l="1"/>
  <c r="C165" i="1"/>
  <c r="D165" i="1" s="1"/>
  <c r="F165" i="1" s="1"/>
  <c r="B166" i="1" l="1"/>
  <c r="H164" i="1"/>
  <c r="G166" i="1" l="1"/>
  <c r="C166" i="1"/>
  <c r="D166" i="1" s="1"/>
  <c r="F166" i="1" s="1"/>
  <c r="B167" i="1" l="1"/>
  <c r="H165" i="1"/>
  <c r="G167" i="1" l="1"/>
  <c r="C167" i="1"/>
  <c r="D167" i="1" s="1"/>
  <c r="F167" i="1" s="1"/>
  <c r="B168" i="1" l="1"/>
  <c r="H166" i="1"/>
  <c r="G168" i="1" l="1"/>
  <c r="C168" i="1"/>
  <c r="D168" i="1" s="1"/>
  <c r="F168" i="1" s="1"/>
  <c r="B169" i="1" l="1"/>
  <c r="H167" i="1"/>
  <c r="G169" i="1" l="1"/>
  <c r="C169" i="1"/>
  <c r="D169" i="1" s="1"/>
  <c r="F169" i="1" s="1"/>
  <c r="B170" i="1" l="1"/>
  <c r="H168" i="1"/>
  <c r="G170" i="1" l="1"/>
  <c r="C170" i="1"/>
  <c r="D170" i="1" s="1"/>
  <c r="F170" i="1" s="1"/>
  <c r="B171" i="1" l="1"/>
  <c r="H169" i="1"/>
  <c r="G171" i="1" l="1"/>
  <c r="C171" i="1"/>
  <c r="D171" i="1" s="1"/>
  <c r="F171" i="1" s="1"/>
  <c r="B172" i="1" l="1"/>
  <c r="H170" i="1"/>
  <c r="G172" i="1" l="1"/>
  <c r="C172" i="1"/>
  <c r="D172" i="1" s="1"/>
  <c r="F172" i="1" s="1"/>
  <c r="B173" i="1" l="1"/>
  <c r="H171" i="1"/>
  <c r="G173" i="1" l="1"/>
  <c r="C173" i="1"/>
  <c r="D173" i="1" s="1"/>
  <c r="F173" i="1" s="1"/>
  <c r="B174" i="1" l="1"/>
  <c r="H172" i="1"/>
  <c r="G174" i="1" l="1"/>
  <c r="C174" i="1"/>
  <c r="D174" i="1" s="1"/>
  <c r="F174" i="1" s="1"/>
  <c r="B175" i="1" l="1"/>
  <c r="H173" i="1"/>
  <c r="G175" i="1" l="1"/>
  <c r="C175" i="1"/>
  <c r="D175" i="1" s="1"/>
  <c r="F175" i="1" s="1"/>
  <c r="B176" i="1" l="1"/>
  <c r="H174" i="1"/>
  <c r="G176" i="1" l="1"/>
  <c r="C176" i="1"/>
  <c r="D176" i="1" s="1"/>
  <c r="F176" i="1" s="1"/>
  <c r="B177" i="1" l="1"/>
  <c r="H175" i="1"/>
  <c r="G177" i="1" l="1"/>
  <c r="C177" i="1"/>
  <c r="D177" i="1" s="1"/>
  <c r="F177" i="1" s="1"/>
  <c r="B178" i="1" l="1"/>
  <c r="H176" i="1"/>
  <c r="G178" i="1" l="1"/>
  <c r="C178" i="1"/>
  <c r="D178" i="1" s="1"/>
  <c r="F178" i="1" s="1"/>
  <c r="B179" i="1" l="1"/>
  <c r="H177" i="1"/>
  <c r="G179" i="1" l="1"/>
  <c r="C179" i="1"/>
  <c r="D179" i="1" s="1"/>
  <c r="F179" i="1" s="1"/>
  <c r="B180" i="1" l="1"/>
  <c r="H178" i="1"/>
  <c r="G180" i="1" l="1"/>
  <c r="C180" i="1"/>
  <c r="D180" i="1" s="1"/>
  <c r="F180" i="1" s="1"/>
  <c r="B181" i="1" l="1"/>
  <c r="H179" i="1"/>
  <c r="G181" i="1" l="1"/>
  <c r="C181" i="1"/>
  <c r="D181" i="1" s="1"/>
  <c r="F181" i="1" s="1"/>
  <c r="B182" i="1" l="1"/>
  <c r="H180" i="1"/>
  <c r="G182" i="1" l="1"/>
  <c r="C182" i="1"/>
  <c r="D182" i="1" s="1"/>
  <c r="F182" i="1" s="1"/>
  <c r="B183" i="1" l="1"/>
  <c r="H181" i="1"/>
  <c r="G183" i="1" l="1"/>
  <c r="C183" i="1"/>
  <c r="D183" i="1" s="1"/>
  <c r="F183" i="1" s="1"/>
  <c r="B184" i="1" l="1"/>
  <c r="H182" i="1"/>
  <c r="G184" i="1" l="1"/>
  <c r="C184" i="1"/>
  <c r="D184" i="1" s="1"/>
  <c r="F184" i="1" s="1"/>
  <c r="B185" i="1" l="1"/>
  <c r="H183" i="1"/>
  <c r="G185" i="1" l="1"/>
  <c r="C185" i="1"/>
  <c r="D185" i="1" s="1"/>
  <c r="F185" i="1" s="1"/>
  <c r="B186" i="1" l="1"/>
  <c r="H184" i="1"/>
  <c r="G186" i="1" l="1"/>
  <c r="C186" i="1"/>
  <c r="D186" i="1" s="1"/>
  <c r="F186" i="1" s="1"/>
  <c r="B187" i="1" l="1"/>
  <c r="H185" i="1"/>
  <c r="G187" i="1" l="1"/>
  <c r="C187" i="1"/>
  <c r="D187" i="1" s="1"/>
  <c r="F187" i="1" s="1"/>
  <c r="B188" i="1" l="1"/>
  <c r="H186" i="1"/>
  <c r="G188" i="1" l="1"/>
  <c r="C188" i="1"/>
  <c r="D188" i="1" s="1"/>
  <c r="F188" i="1" s="1"/>
  <c r="B189" i="1" l="1"/>
  <c r="H187" i="1"/>
  <c r="G189" i="1" l="1"/>
  <c r="C189" i="1"/>
  <c r="D189" i="1" s="1"/>
  <c r="F189" i="1" s="1"/>
  <c r="B190" i="1" l="1"/>
  <c r="H188" i="1"/>
  <c r="G190" i="1" l="1"/>
  <c r="C190" i="1"/>
  <c r="D190" i="1" s="1"/>
  <c r="F190" i="1" s="1"/>
  <c r="B191" i="1" l="1"/>
  <c r="H189" i="1"/>
  <c r="G191" i="1" l="1"/>
  <c r="C191" i="1"/>
  <c r="D191" i="1" s="1"/>
  <c r="F191" i="1" s="1"/>
  <c r="B192" i="1" l="1"/>
  <c r="H190" i="1"/>
  <c r="G192" i="1" l="1"/>
  <c r="C192" i="1"/>
  <c r="D192" i="1" s="1"/>
  <c r="F192" i="1" s="1"/>
  <c r="B193" i="1" l="1"/>
  <c r="H191" i="1"/>
  <c r="G193" i="1" l="1"/>
  <c r="C193" i="1"/>
  <c r="D193" i="1" s="1"/>
  <c r="F193" i="1" s="1"/>
  <c r="B194" i="1" l="1"/>
  <c r="H192" i="1"/>
  <c r="G194" i="1" l="1"/>
  <c r="C194" i="1"/>
  <c r="D194" i="1" s="1"/>
  <c r="F194" i="1" s="1"/>
  <c r="B195" i="1" l="1"/>
  <c r="H193" i="1"/>
  <c r="G195" i="1" l="1"/>
  <c r="C195" i="1"/>
  <c r="D195" i="1" s="1"/>
  <c r="F195" i="1" s="1"/>
  <c r="B196" i="1" l="1"/>
  <c r="H194" i="1"/>
  <c r="G196" i="1" l="1"/>
  <c r="C196" i="1"/>
  <c r="D196" i="1" s="1"/>
  <c r="F196" i="1" s="1"/>
  <c r="B197" i="1" l="1"/>
  <c r="H195" i="1"/>
  <c r="G197" i="1" l="1"/>
  <c r="C197" i="1"/>
  <c r="D197" i="1" s="1"/>
  <c r="F197" i="1" s="1"/>
  <c r="B198" i="1" l="1"/>
  <c r="H196" i="1"/>
  <c r="G198" i="1" l="1"/>
  <c r="C198" i="1"/>
  <c r="D198" i="1" s="1"/>
  <c r="F198" i="1" s="1"/>
  <c r="B199" i="1" l="1"/>
  <c r="H197" i="1"/>
  <c r="G199" i="1" l="1"/>
  <c r="C199" i="1"/>
  <c r="D199" i="1" s="1"/>
  <c r="F199" i="1" s="1"/>
  <c r="B200" i="1" l="1"/>
  <c r="H198" i="1"/>
  <c r="G200" i="1" l="1"/>
  <c r="C200" i="1"/>
  <c r="D200" i="1" s="1"/>
  <c r="F200" i="1" s="1"/>
  <c r="B201" i="1" l="1"/>
  <c r="H199" i="1"/>
  <c r="G201" i="1" l="1"/>
  <c r="C201" i="1"/>
  <c r="D201" i="1" s="1"/>
  <c r="F201" i="1" s="1"/>
  <c r="B202" i="1" l="1"/>
  <c r="H200" i="1"/>
  <c r="G202" i="1" l="1"/>
  <c r="C202" i="1"/>
  <c r="D202" i="1" s="1"/>
  <c r="F202" i="1" s="1"/>
  <c r="B203" i="1" l="1"/>
  <c r="H201" i="1"/>
  <c r="G203" i="1" l="1"/>
  <c r="C203" i="1"/>
  <c r="D203" i="1" s="1"/>
  <c r="F203" i="1" s="1"/>
  <c r="B204" i="1" l="1"/>
  <c r="H202" i="1"/>
  <c r="G204" i="1" l="1"/>
  <c r="C204" i="1"/>
  <c r="D204" i="1" s="1"/>
  <c r="F204" i="1" s="1"/>
  <c r="B205" i="1" l="1"/>
  <c r="H203" i="1"/>
  <c r="G205" i="1" l="1"/>
  <c r="C205" i="1"/>
  <c r="D205" i="1" s="1"/>
  <c r="F205" i="1" s="1"/>
  <c r="B206" i="1" l="1"/>
  <c r="H204" i="1"/>
  <c r="G206" i="1" l="1"/>
  <c r="C206" i="1"/>
  <c r="D206" i="1" s="1"/>
  <c r="F206" i="1" s="1"/>
  <c r="B207" i="1" l="1"/>
  <c r="H205" i="1"/>
  <c r="G207" i="1" l="1"/>
  <c r="C207" i="1"/>
  <c r="D207" i="1" s="1"/>
  <c r="F207" i="1" s="1"/>
  <c r="B208" i="1" l="1"/>
  <c r="H206" i="1"/>
  <c r="G208" i="1" l="1"/>
  <c r="C208" i="1"/>
  <c r="D208" i="1" s="1"/>
  <c r="F208" i="1" s="1"/>
  <c r="B209" i="1" l="1"/>
  <c r="H207" i="1"/>
  <c r="G209" i="1" l="1"/>
  <c r="C209" i="1"/>
  <c r="D209" i="1" s="1"/>
  <c r="F209" i="1" s="1"/>
  <c r="B210" i="1" l="1"/>
  <c r="H208" i="1"/>
  <c r="G210" i="1" l="1"/>
  <c r="C210" i="1"/>
  <c r="D210" i="1" s="1"/>
  <c r="F210" i="1" s="1"/>
  <c r="B211" i="1" l="1"/>
  <c r="H209" i="1"/>
  <c r="G211" i="1" l="1"/>
  <c r="C211" i="1"/>
  <c r="D211" i="1" s="1"/>
  <c r="F211" i="1" s="1"/>
  <c r="B212" i="1" l="1"/>
  <c r="H210" i="1"/>
  <c r="G212" i="1" l="1"/>
  <c r="C212" i="1"/>
  <c r="D212" i="1" s="1"/>
  <c r="F212" i="1" s="1"/>
  <c r="B213" i="1" l="1"/>
  <c r="H211" i="1"/>
  <c r="G213" i="1" l="1"/>
  <c r="C213" i="1"/>
  <c r="D213" i="1" s="1"/>
  <c r="F213" i="1" s="1"/>
  <c r="B214" i="1" l="1"/>
  <c r="H212" i="1"/>
  <c r="G214" i="1" l="1"/>
  <c r="C214" i="1"/>
  <c r="D214" i="1" s="1"/>
  <c r="F214" i="1" s="1"/>
  <c r="B215" i="1" l="1"/>
  <c r="H213" i="1"/>
  <c r="G215" i="1" l="1"/>
  <c r="C215" i="1"/>
  <c r="D215" i="1" s="1"/>
  <c r="F215" i="1" s="1"/>
  <c r="B216" i="1" l="1"/>
  <c r="H214" i="1"/>
  <c r="G216" i="1" l="1"/>
  <c r="C216" i="1"/>
  <c r="D216" i="1" s="1"/>
  <c r="F216" i="1" s="1"/>
  <c r="B217" i="1" l="1"/>
  <c r="H215" i="1"/>
  <c r="G217" i="1" l="1"/>
  <c r="C217" i="1"/>
  <c r="D217" i="1" s="1"/>
  <c r="F217" i="1" s="1"/>
  <c r="B218" i="1" l="1"/>
  <c r="H216" i="1"/>
  <c r="G218" i="1" l="1"/>
  <c r="C218" i="1"/>
  <c r="D218" i="1" s="1"/>
  <c r="F218" i="1" s="1"/>
  <c r="B219" i="1" l="1"/>
  <c r="H217" i="1"/>
  <c r="G219" i="1" l="1"/>
  <c r="C219" i="1"/>
  <c r="D219" i="1" s="1"/>
  <c r="F219" i="1" s="1"/>
  <c r="B220" i="1" l="1"/>
  <c r="H218" i="1"/>
  <c r="G220" i="1" l="1"/>
  <c r="C220" i="1"/>
  <c r="D220" i="1" s="1"/>
  <c r="F220" i="1" s="1"/>
  <c r="B221" i="1" l="1"/>
  <c r="H219" i="1"/>
  <c r="G221" i="1" l="1"/>
  <c r="C221" i="1"/>
  <c r="D221" i="1" s="1"/>
  <c r="F221" i="1" s="1"/>
  <c r="B222" i="1" l="1"/>
  <c r="H220" i="1"/>
  <c r="G222" i="1" l="1"/>
  <c r="C222" i="1"/>
  <c r="D222" i="1" s="1"/>
  <c r="F222" i="1" s="1"/>
  <c r="B223" i="1" l="1"/>
  <c r="H221" i="1"/>
  <c r="G223" i="1" l="1"/>
  <c r="C223" i="1"/>
  <c r="D223" i="1" s="1"/>
  <c r="F223" i="1" s="1"/>
  <c r="B224" i="1" l="1"/>
  <c r="H222" i="1"/>
  <c r="G224" i="1" l="1"/>
  <c r="C224" i="1"/>
  <c r="D224" i="1" s="1"/>
  <c r="F224" i="1" s="1"/>
  <c r="B225" i="1" l="1"/>
  <c r="H223" i="1"/>
  <c r="G225" i="1" l="1"/>
  <c r="C225" i="1"/>
  <c r="D225" i="1" s="1"/>
  <c r="F225" i="1" s="1"/>
  <c r="B226" i="1" l="1"/>
  <c r="H224" i="1"/>
  <c r="G226" i="1" l="1"/>
  <c r="C226" i="1"/>
  <c r="D226" i="1" s="1"/>
  <c r="F226" i="1" s="1"/>
  <c r="B227" i="1" l="1"/>
  <c r="H225" i="1"/>
  <c r="G227" i="1" l="1"/>
  <c r="C227" i="1"/>
  <c r="D227" i="1" s="1"/>
  <c r="F227" i="1" s="1"/>
  <c r="B228" i="1" l="1"/>
  <c r="H226" i="1"/>
  <c r="G228" i="1" l="1"/>
  <c r="C228" i="1"/>
  <c r="D228" i="1" s="1"/>
  <c r="F228" i="1" s="1"/>
  <c r="B229" i="1" l="1"/>
  <c r="H227" i="1"/>
  <c r="G229" i="1" l="1"/>
  <c r="C229" i="1"/>
  <c r="D229" i="1" s="1"/>
  <c r="F229" i="1" s="1"/>
  <c r="B230" i="1" l="1"/>
  <c r="H228" i="1"/>
  <c r="G230" i="1" l="1"/>
  <c r="C230" i="1"/>
  <c r="D230" i="1" s="1"/>
  <c r="F230" i="1" s="1"/>
  <c r="B231" i="1" l="1"/>
  <c r="H229" i="1"/>
  <c r="G231" i="1" l="1"/>
  <c r="C231" i="1"/>
  <c r="D231" i="1" s="1"/>
  <c r="F231" i="1" s="1"/>
  <c r="B232" i="1" l="1"/>
  <c r="H230" i="1"/>
  <c r="G232" i="1" l="1"/>
  <c r="C232" i="1"/>
  <c r="D232" i="1" s="1"/>
  <c r="F232" i="1" s="1"/>
  <c r="B233" i="1" l="1"/>
  <c r="H231" i="1"/>
  <c r="G233" i="1" l="1"/>
  <c r="C233" i="1"/>
  <c r="D233" i="1" s="1"/>
  <c r="F233" i="1" s="1"/>
  <c r="B234" i="1" l="1"/>
  <c r="H232" i="1"/>
  <c r="G234" i="1" l="1"/>
  <c r="C234" i="1"/>
  <c r="D234" i="1" s="1"/>
  <c r="F234" i="1" s="1"/>
  <c r="B235" i="1" l="1"/>
  <c r="H233" i="1"/>
  <c r="G235" i="1" l="1"/>
  <c r="C235" i="1"/>
  <c r="D235" i="1" s="1"/>
  <c r="F235" i="1" s="1"/>
  <c r="B236" i="1" l="1"/>
  <c r="H234" i="1"/>
  <c r="G236" i="1" l="1"/>
  <c r="C236" i="1"/>
  <c r="D236" i="1" s="1"/>
  <c r="F236" i="1" s="1"/>
  <c r="B237" i="1" l="1"/>
  <c r="H235" i="1"/>
  <c r="G237" i="1" l="1"/>
  <c r="C237" i="1"/>
  <c r="D237" i="1" s="1"/>
  <c r="F237" i="1" s="1"/>
  <c r="B238" i="1" l="1"/>
  <c r="H236" i="1"/>
  <c r="G238" i="1" l="1"/>
  <c r="C238" i="1"/>
  <c r="D238" i="1" s="1"/>
  <c r="F238" i="1" s="1"/>
  <c r="B239" i="1" l="1"/>
  <c r="H237" i="1"/>
  <c r="G239" i="1" l="1"/>
  <c r="C239" i="1"/>
  <c r="D239" i="1" s="1"/>
  <c r="F239" i="1" s="1"/>
  <c r="B240" i="1" l="1"/>
  <c r="H238" i="1"/>
  <c r="G240" i="1" l="1"/>
  <c r="C240" i="1"/>
  <c r="D240" i="1" s="1"/>
  <c r="F240" i="1" s="1"/>
  <c r="B241" i="1" l="1"/>
  <c r="H239" i="1"/>
  <c r="G241" i="1" l="1"/>
  <c r="C241" i="1"/>
  <c r="D241" i="1" s="1"/>
  <c r="F241" i="1" s="1"/>
  <c r="B242" i="1" l="1"/>
  <c r="H240" i="1"/>
  <c r="G242" i="1" l="1"/>
  <c r="C242" i="1"/>
  <c r="D242" i="1" s="1"/>
  <c r="F242" i="1" s="1"/>
  <c r="B243" i="1" l="1"/>
  <c r="H241" i="1"/>
  <c r="G243" i="1" l="1"/>
  <c r="C243" i="1"/>
  <c r="D243" i="1" s="1"/>
  <c r="F243" i="1" s="1"/>
  <c r="B244" i="1" l="1"/>
  <c r="H242" i="1"/>
  <c r="G244" i="1" l="1"/>
  <c r="C244" i="1"/>
  <c r="D244" i="1" s="1"/>
  <c r="F244" i="1" s="1"/>
  <c r="B245" i="1" l="1"/>
  <c r="H243" i="1"/>
  <c r="G245" i="1" l="1"/>
  <c r="C245" i="1"/>
  <c r="D245" i="1" s="1"/>
  <c r="F245" i="1" s="1"/>
  <c r="B246" i="1" l="1"/>
  <c r="H244" i="1"/>
  <c r="G246" i="1" l="1"/>
  <c r="C246" i="1"/>
  <c r="D246" i="1" s="1"/>
  <c r="F246" i="1" s="1"/>
  <c r="B247" i="1" l="1"/>
  <c r="H245" i="1"/>
  <c r="G247" i="1" l="1"/>
  <c r="C247" i="1"/>
  <c r="D247" i="1" s="1"/>
  <c r="F247" i="1" s="1"/>
  <c r="B248" i="1" l="1"/>
  <c r="H246" i="1"/>
  <c r="G248" i="1" l="1"/>
  <c r="C248" i="1"/>
  <c r="D248" i="1" s="1"/>
  <c r="F248" i="1" s="1"/>
  <c r="B249" i="1" l="1"/>
  <c r="H247" i="1"/>
  <c r="G249" i="1" l="1"/>
  <c r="C249" i="1"/>
  <c r="D249" i="1" s="1"/>
  <c r="F249" i="1" s="1"/>
  <c r="B250" i="1" l="1"/>
  <c r="H248" i="1"/>
  <c r="G250" i="1" l="1"/>
  <c r="C250" i="1"/>
  <c r="D250" i="1" s="1"/>
  <c r="F250" i="1" s="1"/>
  <c r="B251" i="1" l="1"/>
  <c r="H249" i="1"/>
  <c r="G251" i="1" l="1"/>
  <c r="C251" i="1"/>
  <c r="D251" i="1" s="1"/>
  <c r="F251" i="1" s="1"/>
  <c r="B252" i="1" l="1"/>
  <c r="H250" i="1"/>
  <c r="G252" i="1" l="1"/>
  <c r="C252" i="1"/>
  <c r="D252" i="1" s="1"/>
  <c r="F252" i="1" s="1"/>
  <c r="B253" i="1" l="1"/>
  <c r="H251" i="1"/>
  <c r="G253" i="1" l="1"/>
  <c r="C253" i="1"/>
  <c r="D253" i="1" s="1"/>
  <c r="F253" i="1" s="1"/>
  <c r="B254" i="1" l="1"/>
  <c r="H252" i="1"/>
  <c r="G254" i="1" l="1"/>
  <c r="C254" i="1"/>
  <c r="D254" i="1" s="1"/>
  <c r="F254" i="1" s="1"/>
  <c r="B255" i="1" l="1"/>
  <c r="H253" i="1"/>
  <c r="G255" i="1" l="1"/>
  <c r="C255" i="1"/>
  <c r="D255" i="1" s="1"/>
  <c r="F255" i="1" s="1"/>
  <c r="B256" i="1" l="1"/>
  <c r="H254" i="1"/>
  <c r="G256" i="1" l="1"/>
  <c r="C256" i="1"/>
  <c r="D256" i="1" s="1"/>
  <c r="F256" i="1" s="1"/>
  <c r="B257" i="1" l="1"/>
  <c r="H255" i="1"/>
  <c r="G257" i="1" l="1"/>
  <c r="C257" i="1"/>
  <c r="D257" i="1" s="1"/>
  <c r="F257" i="1" s="1"/>
  <c r="B258" i="1" l="1"/>
  <c r="H256" i="1"/>
  <c r="G258" i="1" l="1"/>
  <c r="C258" i="1"/>
  <c r="D258" i="1" s="1"/>
  <c r="F258" i="1" s="1"/>
  <c r="B259" i="1" l="1"/>
  <c r="H257" i="1"/>
  <c r="G259" i="1" l="1"/>
  <c r="C259" i="1"/>
  <c r="D259" i="1" s="1"/>
  <c r="F259" i="1" s="1"/>
  <c r="B260" i="1" l="1"/>
  <c r="H258" i="1"/>
  <c r="G260" i="1" l="1"/>
  <c r="C260" i="1"/>
  <c r="D260" i="1" s="1"/>
  <c r="F260" i="1" s="1"/>
  <c r="B261" i="1" l="1"/>
  <c r="H259" i="1"/>
  <c r="G261" i="1" l="1"/>
  <c r="C261" i="1"/>
  <c r="D261" i="1" s="1"/>
  <c r="F261" i="1" s="1"/>
  <c r="B262" i="1" l="1"/>
  <c r="H260" i="1"/>
  <c r="G262" i="1" l="1"/>
  <c r="C262" i="1"/>
  <c r="D262" i="1" s="1"/>
  <c r="F262" i="1" s="1"/>
  <c r="B263" i="1" l="1"/>
  <c r="H261" i="1"/>
  <c r="G263" i="1" l="1"/>
  <c r="C263" i="1"/>
  <c r="D263" i="1" s="1"/>
  <c r="F263" i="1" s="1"/>
  <c r="B264" i="1" l="1"/>
  <c r="H262" i="1"/>
  <c r="G264" i="1" l="1"/>
  <c r="C264" i="1"/>
  <c r="D264" i="1" s="1"/>
  <c r="F264" i="1" s="1"/>
  <c r="B265" i="1" l="1"/>
  <c r="H263" i="1"/>
  <c r="G265" i="1" l="1"/>
  <c r="C265" i="1"/>
  <c r="D265" i="1" s="1"/>
  <c r="F265" i="1" s="1"/>
  <c r="B266" i="1" l="1"/>
  <c r="H264" i="1"/>
  <c r="G266" i="1" l="1"/>
  <c r="C266" i="1"/>
  <c r="D266" i="1" s="1"/>
  <c r="F266" i="1" s="1"/>
  <c r="B267" i="1" l="1"/>
  <c r="H265" i="1"/>
  <c r="G267" i="1" l="1"/>
  <c r="C267" i="1"/>
  <c r="D267" i="1" s="1"/>
  <c r="F267" i="1" s="1"/>
  <c r="B268" i="1" l="1"/>
  <c r="H266" i="1"/>
  <c r="G268" i="1" l="1"/>
  <c r="C268" i="1"/>
  <c r="D268" i="1" s="1"/>
  <c r="F268" i="1" s="1"/>
  <c r="B269" i="1" l="1"/>
  <c r="H267" i="1"/>
  <c r="G269" i="1" l="1"/>
  <c r="C269" i="1"/>
  <c r="D269" i="1" s="1"/>
  <c r="F269" i="1" s="1"/>
  <c r="B270" i="1" l="1"/>
  <c r="H268" i="1"/>
  <c r="G270" i="1" l="1"/>
  <c r="C270" i="1"/>
  <c r="D270" i="1" s="1"/>
  <c r="F270" i="1" s="1"/>
  <c r="B271" i="1" l="1"/>
  <c r="H269" i="1"/>
  <c r="G271" i="1" l="1"/>
  <c r="C271" i="1"/>
  <c r="D271" i="1" s="1"/>
  <c r="F271" i="1" s="1"/>
  <c r="B272" i="1" l="1"/>
  <c r="H270" i="1"/>
  <c r="G272" i="1" l="1"/>
  <c r="C272" i="1"/>
  <c r="D272" i="1" s="1"/>
  <c r="F272" i="1" s="1"/>
  <c r="B273" i="1" l="1"/>
  <c r="H271" i="1"/>
  <c r="G273" i="1" l="1"/>
  <c r="C273" i="1"/>
  <c r="D273" i="1" s="1"/>
  <c r="F273" i="1" s="1"/>
  <c r="B274" i="1" l="1"/>
  <c r="H272" i="1"/>
  <c r="G274" i="1" l="1"/>
  <c r="C274" i="1"/>
  <c r="D274" i="1" s="1"/>
  <c r="F274" i="1" s="1"/>
  <c r="B275" i="1" l="1"/>
  <c r="H273" i="1"/>
  <c r="G275" i="1" l="1"/>
  <c r="C275" i="1"/>
  <c r="D275" i="1" s="1"/>
  <c r="F275" i="1" s="1"/>
  <c r="B276" i="1" l="1"/>
  <c r="H274" i="1"/>
  <c r="G276" i="1" l="1"/>
  <c r="C276" i="1"/>
  <c r="D276" i="1" s="1"/>
  <c r="F276" i="1" s="1"/>
  <c r="B277" i="1" l="1"/>
  <c r="H275" i="1"/>
  <c r="G277" i="1" l="1"/>
  <c r="C277" i="1"/>
  <c r="D277" i="1" s="1"/>
  <c r="F277" i="1" s="1"/>
  <c r="B278" i="1" l="1"/>
  <c r="H276" i="1"/>
  <c r="G278" i="1" l="1"/>
  <c r="C278" i="1"/>
  <c r="D278" i="1" s="1"/>
  <c r="F278" i="1" s="1"/>
  <c r="B279" i="1" l="1"/>
  <c r="H277" i="1"/>
  <c r="G279" i="1" l="1"/>
  <c r="C279" i="1"/>
  <c r="D279" i="1" s="1"/>
  <c r="F279" i="1" s="1"/>
  <c r="B280" i="1" l="1"/>
  <c r="H278" i="1"/>
  <c r="G280" i="1" l="1"/>
  <c r="C280" i="1"/>
  <c r="D280" i="1" s="1"/>
  <c r="F280" i="1" s="1"/>
  <c r="B281" i="1" l="1"/>
  <c r="H279" i="1"/>
  <c r="G281" i="1" l="1"/>
  <c r="C281" i="1"/>
  <c r="D281" i="1" s="1"/>
  <c r="F281" i="1" s="1"/>
  <c r="B282" i="1" l="1"/>
  <c r="H280" i="1"/>
  <c r="G282" i="1" l="1"/>
  <c r="C282" i="1"/>
  <c r="D282" i="1" s="1"/>
  <c r="F282" i="1" s="1"/>
  <c r="B283" i="1" l="1"/>
  <c r="H281" i="1"/>
  <c r="G283" i="1" l="1"/>
  <c r="C283" i="1"/>
  <c r="D283" i="1" s="1"/>
  <c r="F283" i="1" s="1"/>
  <c r="B284" i="1" l="1"/>
  <c r="H282" i="1"/>
  <c r="G284" i="1" l="1"/>
  <c r="C284" i="1"/>
  <c r="D284" i="1" s="1"/>
  <c r="F284" i="1" s="1"/>
  <c r="B285" i="1" l="1"/>
  <c r="H283" i="1"/>
  <c r="G285" i="1" l="1"/>
  <c r="C285" i="1"/>
  <c r="D285" i="1" s="1"/>
  <c r="F285" i="1" s="1"/>
  <c r="B286" i="1" l="1"/>
  <c r="H284" i="1"/>
  <c r="G286" i="1" l="1"/>
  <c r="C286" i="1"/>
  <c r="D286" i="1" s="1"/>
  <c r="F286" i="1" s="1"/>
  <c r="B287" i="1" l="1"/>
  <c r="H285" i="1"/>
  <c r="G287" i="1" l="1"/>
  <c r="C287" i="1"/>
  <c r="D287" i="1" s="1"/>
  <c r="F287" i="1" s="1"/>
  <c r="B288" i="1" l="1"/>
  <c r="H286" i="1"/>
  <c r="G288" i="1" l="1"/>
  <c r="C288" i="1"/>
  <c r="D288" i="1" s="1"/>
  <c r="F288" i="1" s="1"/>
  <c r="B289" i="1" l="1"/>
  <c r="H287" i="1"/>
  <c r="G289" i="1" l="1"/>
  <c r="C289" i="1"/>
  <c r="D289" i="1" s="1"/>
  <c r="F289" i="1" s="1"/>
  <c r="B290" i="1" l="1"/>
  <c r="H288" i="1"/>
  <c r="G290" i="1" l="1"/>
  <c r="C290" i="1"/>
  <c r="D290" i="1" s="1"/>
  <c r="F290" i="1" s="1"/>
  <c r="B291" i="1" l="1"/>
  <c r="H289" i="1"/>
  <c r="G291" i="1" l="1"/>
  <c r="C291" i="1"/>
  <c r="D291" i="1" s="1"/>
  <c r="F291" i="1" s="1"/>
  <c r="B292" i="1" l="1"/>
  <c r="H290" i="1"/>
  <c r="G292" i="1" l="1"/>
  <c r="C292" i="1"/>
  <c r="D292" i="1" s="1"/>
  <c r="F292" i="1" s="1"/>
  <c r="B293" i="1" l="1"/>
  <c r="H291" i="1"/>
  <c r="G293" i="1" l="1"/>
  <c r="C293" i="1"/>
  <c r="D293" i="1" s="1"/>
  <c r="F293" i="1" s="1"/>
  <c r="B294" i="1" l="1"/>
  <c r="H292" i="1"/>
  <c r="G294" i="1" l="1"/>
  <c r="C294" i="1"/>
  <c r="D294" i="1" s="1"/>
  <c r="F294" i="1" s="1"/>
  <c r="B295" i="1" l="1"/>
  <c r="H293" i="1"/>
  <c r="G295" i="1" l="1"/>
  <c r="C295" i="1"/>
  <c r="D295" i="1" s="1"/>
  <c r="F295" i="1" s="1"/>
  <c r="B296" i="1" l="1"/>
  <c r="H294" i="1"/>
  <c r="G296" i="1" l="1"/>
  <c r="C296" i="1"/>
  <c r="D296" i="1" s="1"/>
  <c r="F296" i="1" s="1"/>
  <c r="B297" i="1" l="1"/>
  <c r="H295" i="1"/>
  <c r="G297" i="1" l="1"/>
  <c r="C297" i="1"/>
  <c r="D297" i="1" s="1"/>
  <c r="F297" i="1" s="1"/>
  <c r="B298" i="1" l="1"/>
  <c r="H296" i="1"/>
  <c r="G298" i="1" l="1"/>
  <c r="C298" i="1"/>
  <c r="D298" i="1" s="1"/>
  <c r="F298" i="1" s="1"/>
  <c r="B299" i="1" l="1"/>
  <c r="H297" i="1"/>
  <c r="G299" i="1" l="1"/>
  <c r="C299" i="1"/>
  <c r="D299" i="1" s="1"/>
  <c r="F299" i="1" s="1"/>
  <c r="B300" i="1" l="1"/>
  <c r="H298" i="1"/>
  <c r="G300" i="1" l="1"/>
  <c r="C300" i="1"/>
  <c r="D300" i="1" s="1"/>
  <c r="F300" i="1" s="1"/>
  <c r="B301" i="1" l="1"/>
  <c r="H299" i="1"/>
  <c r="G301" i="1" l="1"/>
  <c r="C301" i="1"/>
  <c r="D301" i="1" s="1"/>
  <c r="F301" i="1" s="1"/>
  <c r="B302" i="1" l="1"/>
  <c r="H300" i="1"/>
  <c r="G302" i="1" l="1"/>
  <c r="C302" i="1"/>
  <c r="D302" i="1" s="1"/>
  <c r="F302" i="1" s="1"/>
  <c r="B303" i="1" l="1"/>
  <c r="H301" i="1"/>
  <c r="G303" i="1" l="1"/>
  <c r="C303" i="1"/>
  <c r="D303" i="1" s="1"/>
  <c r="F303" i="1" s="1"/>
  <c r="B304" i="1" l="1"/>
  <c r="H302" i="1"/>
  <c r="G304" i="1" l="1"/>
  <c r="C304" i="1"/>
  <c r="D304" i="1" s="1"/>
  <c r="F304" i="1" s="1"/>
  <c r="B305" i="1" l="1"/>
  <c r="H303" i="1"/>
  <c r="G305" i="1" l="1"/>
  <c r="C305" i="1"/>
  <c r="D305" i="1" s="1"/>
  <c r="F305" i="1" s="1"/>
  <c r="B306" i="1" l="1"/>
  <c r="H304" i="1"/>
  <c r="G306" i="1" l="1"/>
  <c r="C306" i="1"/>
  <c r="D306" i="1" s="1"/>
  <c r="F306" i="1" s="1"/>
  <c r="B307" i="1" l="1"/>
  <c r="H305" i="1"/>
  <c r="G307" i="1" l="1"/>
  <c r="C307" i="1"/>
  <c r="D307" i="1" s="1"/>
  <c r="F307" i="1" s="1"/>
  <c r="B308" i="1" l="1"/>
  <c r="H306" i="1"/>
  <c r="G308" i="1" l="1"/>
  <c r="C308" i="1"/>
  <c r="D308" i="1" s="1"/>
  <c r="F308" i="1" s="1"/>
  <c r="B309" i="1" l="1"/>
  <c r="H307" i="1"/>
  <c r="G309" i="1" l="1"/>
  <c r="C309" i="1"/>
  <c r="D309" i="1" s="1"/>
  <c r="F309" i="1" s="1"/>
  <c r="B310" i="1" l="1"/>
  <c r="H308" i="1"/>
  <c r="G310" i="1" l="1"/>
  <c r="C310" i="1"/>
  <c r="D310" i="1" s="1"/>
  <c r="F310" i="1" s="1"/>
  <c r="B311" i="1" l="1"/>
  <c r="H309" i="1"/>
  <c r="G311" i="1" l="1"/>
  <c r="C311" i="1"/>
  <c r="D311" i="1" s="1"/>
  <c r="F311" i="1" s="1"/>
  <c r="B312" i="1" l="1"/>
  <c r="H310" i="1"/>
  <c r="G312" i="1" l="1"/>
  <c r="C312" i="1"/>
  <c r="D312" i="1" s="1"/>
  <c r="F312" i="1" s="1"/>
  <c r="B313" i="1" l="1"/>
  <c r="H311" i="1"/>
  <c r="G313" i="1" l="1"/>
  <c r="C313" i="1"/>
  <c r="D313" i="1" s="1"/>
  <c r="F313" i="1" s="1"/>
  <c r="B314" i="1" l="1"/>
  <c r="H312" i="1"/>
  <c r="G314" i="1" l="1"/>
  <c r="C314" i="1"/>
  <c r="D314" i="1" s="1"/>
  <c r="F314" i="1" s="1"/>
  <c r="B315" i="1" l="1"/>
  <c r="H313" i="1"/>
  <c r="G315" i="1" l="1"/>
  <c r="C315" i="1"/>
  <c r="D315" i="1" s="1"/>
  <c r="F315" i="1" s="1"/>
  <c r="B316" i="1" l="1"/>
  <c r="H314" i="1"/>
  <c r="G316" i="1" l="1"/>
  <c r="C316" i="1"/>
  <c r="D316" i="1" s="1"/>
  <c r="F316" i="1" s="1"/>
  <c r="B317" i="1" l="1"/>
  <c r="H315" i="1"/>
  <c r="G317" i="1" l="1"/>
  <c r="C317" i="1"/>
  <c r="D317" i="1" s="1"/>
  <c r="F317" i="1" s="1"/>
  <c r="B318" i="1" l="1"/>
  <c r="H316" i="1"/>
  <c r="G318" i="1" l="1"/>
  <c r="C318" i="1"/>
  <c r="D318" i="1" s="1"/>
  <c r="F318" i="1" s="1"/>
  <c r="B319" i="1" l="1"/>
  <c r="H317" i="1"/>
  <c r="G319" i="1" l="1"/>
  <c r="C319" i="1"/>
  <c r="D319" i="1" s="1"/>
  <c r="F319" i="1" s="1"/>
  <c r="B320" i="1" l="1"/>
  <c r="H318" i="1"/>
  <c r="G320" i="1" l="1"/>
  <c r="C320" i="1"/>
  <c r="D320" i="1" s="1"/>
  <c r="F320" i="1" s="1"/>
  <c r="B321" i="1" l="1"/>
  <c r="H319" i="1"/>
  <c r="G321" i="1" l="1"/>
  <c r="C321" i="1"/>
  <c r="D321" i="1" s="1"/>
  <c r="F321" i="1" s="1"/>
  <c r="B322" i="1" l="1"/>
  <c r="H320" i="1"/>
  <c r="G322" i="1" l="1"/>
  <c r="C322" i="1"/>
  <c r="D322" i="1" s="1"/>
  <c r="F322" i="1" s="1"/>
  <c r="B323" i="1" l="1"/>
  <c r="H321" i="1"/>
  <c r="G323" i="1" l="1"/>
  <c r="C323" i="1"/>
  <c r="D323" i="1" s="1"/>
  <c r="F323" i="1" s="1"/>
  <c r="B324" i="1" l="1"/>
  <c r="H322" i="1"/>
  <c r="G324" i="1" l="1"/>
  <c r="C324" i="1"/>
  <c r="D324" i="1" s="1"/>
  <c r="F324" i="1" s="1"/>
  <c r="B325" i="1" l="1"/>
  <c r="H323" i="1"/>
  <c r="G325" i="1" l="1"/>
  <c r="C325" i="1"/>
  <c r="D325" i="1" s="1"/>
  <c r="F325" i="1" s="1"/>
  <c r="B326" i="1" l="1"/>
  <c r="H324" i="1"/>
  <c r="G326" i="1" l="1"/>
  <c r="C326" i="1"/>
  <c r="D326" i="1" s="1"/>
  <c r="F326" i="1" s="1"/>
  <c r="B327" i="1" l="1"/>
  <c r="H325" i="1"/>
  <c r="G327" i="1" l="1"/>
  <c r="C327" i="1"/>
  <c r="D327" i="1" s="1"/>
  <c r="F327" i="1" s="1"/>
  <c r="B328" i="1" l="1"/>
  <c r="H326" i="1"/>
  <c r="G328" i="1" l="1"/>
  <c r="C328" i="1"/>
  <c r="D328" i="1" s="1"/>
  <c r="F328" i="1" s="1"/>
  <c r="B329" i="1" l="1"/>
  <c r="H327" i="1"/>
  <c r="G329" i="1" l="1"/>
  <c r="C329" i="1"/>
  <c r="D329" i="1" s="1"/>
  <c r="F329" i="1" s="1"/>
  <c r="B330" i="1" l="1"/>
  <c r="H328" i="1"/>
  <c r="G330" i="1" l="1"/>
  <c r="C330" i="1"/>
  <c r="D330" i="1" s="1"/>
  <c r="F330" i="1" s="1"/>
  <c r="B331" i="1" l="1"/>
  <c r="H329" i="1"/>
  <c r="G331" i="1" l="1"/>
  <c r="C331" i="1"/>
  <c r="D331" i="1" s="1"/>
  <c r="F331" i="1" s="1"/>
  <c r="B332" i="1" l="1"/>
  <c r="H330" i="1"/>
  <c r="G332" i="1" l="1"/>
  <c r="C332" i="1"/>
  <c r="D332" i="1" s="1"/>
  <c r="F332" i="1" s="1"/>
  <c r="B333" i="1" l="1"/>
  <c r="H331" i="1"/>
  <c r="G333" i="1" l="1"/>
  <c r="C333" i="1"/>
  <c r="D333" i="1" s="1"/>
  <c r="F333" i="1" s="1"/>
  <c r="B334" i="1" l="1"/>
  <c r="H332" i="1"/>
  <c r="G334" i="1" l="1"/>
  <c r="C334" i="1"/>
  <c r="D334" i="1" s="1"/>
  <c r="F334" i="1" s="1"/>
  <c r="B335" i="1" l="1"/>
  <c r="H333" i="1"/>
  <c r="G335" i="1" l="1"/>
  <c r="C335" i="1"/>
  <c r="D335" i="1" s="1"/>
  <c r="F335" i="1" s="1"/>
  <c r="B336" i="1" l="1"/>
  <c r="H334" i="1"/>
  <c r="G336" i="1" l="1"/>
  <c r="C336" i="1"/>
  <c r="D336" i="1" s="1"/>
  <c r="F336" i="1" s="1"/>
  <c r="B337" i="1" l="1"/>
  <c r="H335" i="1"/>
  <c r="G337" i="1" l="1"/>
  <c r="C337" i="1"/>
  <c r="D337" i="1" s="1"/>
  <c r="F337" i="1" s="1"/>
  <c r="B338" i="1" l="1"/>
  <c r="H336" i="1"/>
  <c r="G338" i="1" l="1"/>
  <c r="C338" i="1"/>
  <c r="D338" i="1" s="1"/>
  <c r="F338" i="1" s="1"/>
  <c r="B339" i="1" l="1"/>
  <c r="H337" i="1"/>
  <c r="G339" i="1" l="1"/>
  <c r="C339" i="1"/>
  <c r="D339" i="1" s="1"/>
  <c r="F339" i="1" s="1"/>
  <c r="B340" i="1" l="1"/>
  <c r="H338" i="1"/>
  <c r="G340" i="1" l="1"/>
  <c r="C340" i="1"/>
  <c r="D340" i="1" s="1"/>
  <c r="F340" i="1" s="1"/>
  <c r="B341" i="1" l="1"/>
  <c r="H339" i="1"/>
  <c r="G341" i="1" l="1"/>
  <c r="C341" i="1"/>
  <c r="D341" i="1" s="1"/>
  <c r="F341" i="1" s="1"/>
  <c r="B342" i="1" l="1"/>
  <c r="H340" i="1"/>
  <c r="G342" i="1" l="1"/>
  <c r="C342" i="1"/>
  <c r="D342" i="1" s="1"/>
  <c r="F342" i="1" s="1"/>
  <c r="B343" i="1" l="1"/>
  <c r="H341" i="1"/>
  <c r="G343" i="1" l="1"/>
  <c r="C343" i="1"/>
  <c r="D343" i="1" s="1"/>
  <c r="F343" i="1" s="1"/>
  <c r="B344" i="1" l="1"/>
  <c r="H342" i="1"/>
  <c r="G344" i="1" l="1"/>
  <c r="C344" i="1"/>
  <c r="D344" i="1" s="1"/>
  <c r="F344" i="1" s="1"/>
  <c r="B345" i="1" l="1"/>
  <c r="H343" i="1"/>
  <c r="G345" i="1" l="1"/>
  <c r="C345" i="1"/>
  <c r="D345" i="1" s="1"/>
  <c r="F345" i="1" s="1"/>
  <c r="B346" i="1" l="1"/>
  <c r="H344" i="1"/>
  <c r="G346" i="1" l="1"/>
  <c r="C346" i="1"/>
  <c r="D346" i="1" s="1"/>
  <c r="F346" i="1" s="1"/>
  <c r="B347" i="1" l="1"/>
  <c r="H345" i="1"/>
  <c r="G347" i="1" l="1"/>
  <c r="C347" i="1"/>
  <c r="D347" i="1" s="1"/>
  <c r="F347" i="1" s="1"/>
  <c r="B348" i="1" l="1"/>
  <c r="H346" i="1"/>
  <c r="G348" i="1" l="1"/>
  <c r="C348" i="1"/>
  <c r="D348" i="1" s="1"/>
  <c r="F348" i="1" s="1"/>
  <c r="B349" i="1" l="1"/>
  <c r="H347" i="1"/>
  <c r="G349" i="1" l="1"/>
  <c r="C349" i="1"/>
  <c r="D349" i="1" s="1"/>
  <c r="F349" i="1" s="1"/>
  <c r="B350" i="1" l="1"/>
  <c r="H348" i="1"/>
  <c r="G350" i="1" l="1"/>
  <c r="C350" i="1"/>
  <c r="D350" i="1" s="1"/>
  <c r="F350" i="1" s="1"/>
  <c r="B351" i="1" l="1"/>
  <c r="H349" i="1"/>
  <c r="G351" i="1" l="1"/>
  <c r="C351" i="1"/>
  <c r="D351" i="1" s="1"/>
  <c r="F351" i="1" s="1"/>
  <c r="B352" i="1" l="1"/>
  <c r="H350" i="1"/>
  <c r="G352" i="1" l="1"/>
  <c r="C352" i="1"/>
  <c r="D352" i="1" s="1"/>
  <c r="F352" i="1" s="1"/>
  <c r="B353" i="1" l="1"/>
  <c r="H351" i="1"/>
  <c r="G353" i="1" l="1"/>
  <c r="C353" i="1"/>
  <c r="D353" i="1" s="1"/>
  <c r="F353" i="1" s="1"/>
  <c r="B354" i="1" l="1"/>
  <c r="H352" i="1"/>
  <c r="G354" i="1" l="1"/>
  <c r="C354" i="1"/>
  <c r="D354" i="1" s="1"/>
  <c r="F354" i="1" s="1"/>
  <c r="B355" i="1" l="1"/>
  <c r="H353" i="1"/>
  <c r="G355" i="1" l="1"/>
  <c r="C355" i="1"/>
  <c r="D355" i="1" s="1"/>
  <c r="F355" i="1" s="1"/>
  <c r="B356" i="1" l="1"/>
  <c r="H354" i="1"/>
  <c r="G356" i="1" l="1"/>
  <c r="C356" i="1"/>
  <c r="D356" i="1" s="1"/>
  <c r="F356" i="1" s="1"/>
  <c r="B357" i="1" l="1"/>
  <c r="H355" i="1"/>
  <c r="G357" i="1" l="1"/>
  <c r="C357" i="1"/>
  <c r="D357" i="1" s="1"/>
  <c r="F357" i="1" s="1"/>
  <c r="B358" i="1" l="1"/>
  <c r="H356" i="1"/>
  <c r="G358" i="1" l="1"/>
  <c r="C358" i="1"/>
  <c r="D358" i="1" s="1"/>
  <c r="F358" i="1" s="1"/>
  <c r="B359" i="1" l="1"/>
  <c r="H357" i="1"/>
  <c r="G359" i="1" l="1"/>
  <c r="C359" i="1"/>
  <c r="D359" i="1" s="1"/>
  <c r="F359" i="1" s="1"/>
  <c r="B360" i="1" l="1"/>
  <c r="H358" i="1"/>
  <c r="G360" i="1" l="1"/>
  <c r="C360" i="1"/>
  <c r="D360" i="1" s="1"/>
  <c r="F360" i="1" s="1"/>
  <c r="B361" i="1" l="1"/>
  <c r="H359" i="1"/>
  <c r="G361" i="1" l="1"/>
  <c r="C361" i="1"/>
  <c r="D361" i="1" s="1"/>
  <c r="F361" i="1" s="1"/>
  <c r="B362" i="1" l="1"/>
  <c r="H360" i="1"/>
  <c r="G362" i="1" l="1"/>
  <c r="C362" i="1"/>
  <c r="D362" i="1" s="1"/>
  <c r="F362" i="1" s="1"/>
  <c r="B363" i="1" l="1"/>
  <c r="H361" i="1"/>
  <c r="G363" i="1" l="1"/>
  <c r="C363" i="1"/>
  <c r="D363" i="1" s="1"/>
  <c r="F363" i="1" s="1"/>
  <c r="B364" i="1" l="1"/>
  <c r="H362" i="1"/>
  <c r="G364" i="1" l="1"/>
  <c r="C364" i="1"/>
  <c r="D364" i="1" s="1"/>
  <c r="F364" i="1" s="1"/>
  <c r="B365" i="1" l="1"/>
  <c r="H363" i="1"/>
  <c r="G365" i="1" l="1"/>
  <c r="C365" i="1"/>
  <c r="D365" i="1" s="1"/>
  <c r="F365" i="1" s="1"/>
  <c r="B366" i="1" l="1"/>
  <c r="H364" i="1"/>
  <c r="G366" i="1" l="1"/>
  <c r="C366" i="1"/>
  <c r="D366" i="1" s="1"/>
  <c r="F366" i="1" s="1"/>
  <c r="B367" i="1" l="1"/>
  <c r="H365" i="1"/>
  <c r="G367" i="1" l="1"/>
  <c r="C367" i="1"/>
  <c r="G3" i="1" s="1"/>
  <c r="D367" i="1" l="1"/>
  <c r="F367" i="1" s="1"/>
  <c r="H367" i="1" s="1"/>
  <c r="K9" i="1" s="1" a="1"/>
  <c r="K9" i="1" s="1"/>
  <c r="H7" i="2"/>
  <c r="H11" i="2" s="1"/>
  <c r="H366" i="1" l="1"/>
  <c r="K8" i="1" s="1"/>
  <c r="K16" i="1" s="1"/>
  <c r="K17" i="1" l="1"/>
  <c r="H9" i="2" s="1"/>
  <c r="H8" i="2"/>
  <c r="K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<sst xmlns="http://schemas.openxmlformats.org/spreadsheetml/2006/main" count="44" uniqueCount="42">
  <si>
    <t>P</t>
  </si>
  <si>
    <t>Month</t>
  </si>
  <si>
    <t>Beg Bal</t>
  </si>
  <si>
    <t>Interest</t>
  </si>
  <si>
    <t>To Principle</t>
  </si>
  <si>
    <t>End Bal</t>
  </si>
  <si>
    <t>Extra Payment</t>
  </si>
  <si>
    <t>int</t>
  </si>
  <si>
    <t>Extra Payments</t>
  </si>
  <si>
    <t>Every…</t>
  </si>
  <si>
    <t>Payment amount:</t>
  </si>
  <si>
    <t>months</t>
  </si>
  <si>
    <t>years</t>
  </si>
  <si>
    <t>n</t>
  </si>
  <si>
    <t>Amortization Schedule with Extra Payments</t>
  </si>
  <si>
    <t>Total payments:</t>
  </si>
  <si>
    <t>*with no extra payments</t>
  </si>
  <si>
    <t>Years</t>
  </si>
  <si>
    <t>Principle:</t>
  </si>
  <si>
    <t>Loan Period:</t>
  </si>
  <si>
    <t>Rate (APR):</t>
  </si>
  <si>
    <t>Monthly PMT:</t>
  </si>
  <si>
    <t>Extra payment every…</t>
  </si>
  <si>
    <t>Payoff time:</t>
  </si>
  <si>
    <t>Years and</t>
  </si>
  <si>
    <t>Extra payment AMT:</t>
  </si>
  <si>
    <t>Savings by making extra payments:</t>
  </si>
  <si>
    <t>NO EXTRA PAYMENTS</t>
  </si>
  <si>
    <t>Total interest paid:</t>
  </si>
  <si>
    <t>EXTRA PAYMENTS</t>
  </si>
  <si>
    <t>Total interest:</t>
  </si>
  <si>
    <t>Months</t>
  </si>
  <si>
    <t>Month of last full payment</t>
  </si>
  <si>
    <t>Last month payment</t>
  </si>
  <si>
    <t>pmt:</t>
  </si>
  <si>
    <t>Extra payments:</t>
  </si>
  <si>
    <t xml:space="preserve">"(no extra payment)", "Month", "Two Months", "Three Months", "Four Months", "Six Months", "Year", "Two Years". </t>
  </si>
  <si>
    <t>Three months</t>
  </si>
  <si>
    <t>Year</t>
  </si>
  <si>
    <r>
      <rPr>
        <sz val="11"/>
        <color theme="1"/>
        <rFont val="Calibri"/>
        <family val="2"/>
        <scheme val="minor"/>
      </rPr>
      <t xml:space="preserve">It is important that if the months calculated in cell </t>
    </r>
    <r>
      <rPr>
        <b/>
        <sz val="11"/>
        <color theme="1"/>
        <rFont val="Calibri"/>
        <family val="2"/>
        <scheme val="minor"/>
      </rPr>
      <t xml:space="preserve">H9 </t>
    </r>
    <r>
      <rPr>
        <sz val="11"/>
        <color theme="1"/>
        <rFont val="Calibri"/>
        <family val="2"/>
        <scheme val="minor"/>
      </rPr>
      <t xml:space="preserve">is equal to 12 months, then that needs to be converted to 1 year and 0 months and added to the value for years in cell </t>
    </r>
    <r>
      <rPr>
        <b/>
        <sz val="11"/>
        <color theme="1"/>
        <rFont val="Calibri"/>
        <family val="2"/>
        <scheme val="minor"/>
      </rPr>
      <t>H8</t>
    </r>
    <r>
      <rPr>
        <sz val="11"/>
        <color theme="1"/>
        <rFont val="Calibri"/>
        <family val="2"/>
        <scheme val="minor"/>
      </rPr>
      <t>.</t>
    </r>
  </si>
  <si>
    <t>IF(MOD(K8+1,1*12)&gt;12,0,(MOD(K8+1,1*12)))</t>
  </si>
  <si>
    <t>IF(K8=12,INT((K8+1)/12)+1,INT((K8+1)/12))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</si>
</sst>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_(&quot;$&quot;* #,##0_);_(&quot;$&quot;* \(#,##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4">
    <xf numFmtId="0" fontId="0" fillId="0" borderId="0" xfId="0"/>
    <xf numFmtId="8" fontId="0" fillId="0" borderId="0" xfId="0" applyNumberFormat="1"/>
    <xf numFmtId="44" fontId="0" fillId="0" borderId="0" xfId="1" applyFont="1"/>
    <xf numFmtId="44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/>
    <xf numFmtId="164" fontId="0" fillId="0" borderId="0" xfId="2" applyNumberFormat="1" applyFont="1"/>
    <xf numFmtId="165" fontId="0" fillId="0" borderId="0" xfId="1" applyNumberFormat="1" applyFont="1"/>
    <xf numFmtId="8" fontId="0" fillId="0" borderId="0" xfId="1" applyNumberFormat="1" applyFont="1"/>
    <xf numFmtId="44" fontId="0" fillId="0" borderId="0" xfId="0" applyNumberFormat="1" applyAlignment="1">
      <alignment horizontal="right"/>
    </xf>
    <xf numFmtId="165" fontId="0" fillId="0" borderId="0" xfId="1" applyNumberFormat="1" applyFont="1" applyBorder="1"/>
    <xf numFmtId="10" fontId="0" fillId="0" borderId="0" xfId="0" applyNumberFormat="1"/>
    <xf numFmtId="0" fontId="2" fillId="0" borderId="1" xfId="0" applyFont="1" applyBorder="1" applyAlignment="1">
      <alignment horizontal="right"/>
    </xf>
    <xf numFmtId="0" fontId="0" fillId="0" borderId="2" xfId="0" applyBorder="1"/>
    <xf numFmtId="0" fontId="0" fillId="0" borderId="3" xfId="0" applyBorder="1"/>
    <xf numFmtId="0" fontId="2" fillId="0" borderId="4" xfId="0" applyFont="1" applyBorder="1" applyAlignment="1">
      <alignment horizontal="right"/>
    </xf>
    <xf numFmtId="0" fontId="0" fillId="0" borderId="5" xfId="0" applyBorder="1"/>
    <xf numFmtId="0" fontId="0" fillId="0" borderId="8" xfId="0" applyBorder="1"/>
    <xf numFmtId="0" fontId="2" fillId="0" borderId="6" xfId="0" applyFont="1" applyBorder="1" applyAlignment="1">
      <alignment horizontal="right"/>
    </xf>
    <xf numFmtId="0" fontId="0" fillId="0" borderId="4" xfId="0" applyBorder="1"/>
    <xf numFmtId="44" fontId="0" fillId="0" borderId="0" xfId="1" applyFont="1" applyBorder="1"/>
    <xf numFmtId="44" fontId="0" fillId="0" borderId="7" xfId="1" applyFont="1" applyBorder="1"/>
    <xf numFmtId="0" fontId="3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2" fillId="0" borderId="9" xfId="0" applyFont="1" applyBorder="1" applyAlignment="1">
      <alignment horizontal="center" wrapText="1"/>
    </xf>
    <xf numFmtId="0" fontId="2" fillId="0" borderId="9" xfId="0" applyFont="1" applyBorder="1" applyAlignment="1">
      <alignment horizontal="center" vertical="center" wrapText="1"/>
    </xf>
    <xf numFmtId="0" fontId="0" fillId="0" borderId="11" xfId="0" applyBorder="1"/>
    <xf numFmtId="0" fontId="0" fillId="0" borderId="10" xfId="0" applyBorder="1"/>
    <xf numFmtId="165" fontId="0" fillId="0" borderId="12" xfId="1" applyNumberFormat="1" applyFont="1" applyBorder="1"/>
    <xf numFmtId="0" fontId="0" fillId="0" borderId="13" xfId="0" applyBorder="1"/>
    <xf numFmtId="0" fontId="2" fillId="0" borderId="15" xfId="0" applyFont="1" applyBorder="1" applyAlignment="1">
      <alignment horizontal="right"/>
    </xf>
    <xf numFmtId="0" fontId="2" fillId="0" borderId="16" xfId="0" applyFont="1" applyBorder="1" applyAlignment="1">
      <alignment horizontal="right"/>
    </xf>
    <xf numFmtId="0" fontId="0" fillId="0" borderId="17" xfId="0" applyBorder="1"/>
    <xf numFmtId="0" fontId="2" fillId="0" borderId="16" xfId="0" applyFont="1" applyBorder="1" applyAlignment="1">
      <alignment horizontal="right" wrapText="1"/>
    </xf>
    <xf numFmtId="0" fontId="2" fillId="0" borderId="18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1" xfId="0" applyBorder="1"/>
    <xf numFmtId="0" fontId="0" fillId="0" borderId="6" xfId="0" applyBorder="1"/>
    <xf numFmtId="0" fontId="2" fillId="0" borderId="22" xfId="0" applyFont="1" applyBorder="1" applyAlignment="1">
      <alignment horizontal="right" wrapText="1"/>
    </xf>
    <xf numFmtId="8" fontId="0" fillId="0" borderId="9" xfId="0" applyNumberFormat="1" applyBorder="1"/>
    <xf numFmtId="8" fontId="0" fillId="0" borderId="22" xfId="1" applyNumberFormat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1085850</xdr:colOff>
          <xdr:row>8</xdr:row>
          <xdr:rowOff>114300</xdr:rowOff>
        </xdr:from>
        <xdr:to>
          <xdr:col>2</xdr:col>
          <xdr:colOff>647700</xdr:colOff>
          <xdr:row>10</xdr:row>
          <xdr:rowOff>190500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2DD97-F18A-41FA-82F1-7E59EA617E9F}">
  <sheetPr codeName="Sheet2"/>
  <dimension ref="A1:I19"/>
  <sheetViews>
    <sheetView tabSelected="1" workbookViewId="0">
      <selection activeCell="H9" sqref="H9"/>
    </sheetView>
  </sheetViews>
  <sheetFormatPr defaultRowHeight="15" x14ac:dyDescent="0.25"/>
  <cols>
    <col min="2" max="2" width="19" bestFit="1" customWidth="1"/>
    <col min="3" max="3" width="12.140625" customWidth="1"/>
    <col min="4" max="4" width="10" customWidth="1"/>
    <col min="6" max="6" width="20.85546875" customWidth="1"/>
    <col min="7" max="7" width="14.140625" customWidth="1"/>
    <col min="8" max="8" width="12.28515625" customWidth="1"/>
  </cols>
  <sheetData>
    <row r="1" spans="1:9" x14ac:dyDescent="0.25">
      <c r="A1" s="5" t="s">
        <v>14</v>
      </c>
    </row>
    <row r="2" spans="1:9" ht="15.75" thickBot="1" x14ac:dyDescent="0.3"/>
    <row r="3" spans="1:9" x14ac:dyDescent="0.25">
      <c r="B3" s="12" t="s">
        <v>19</v>
      </c>
      <c r="C3" s="13">
        <v>30</v>
      </c>
      <c r="D3" s="14" t="s">
        <v>17</v>
      </c>
      <c r="F3" s="12" t="s">
        <v>22</v>
      </c>
      <c r="G3" s="42" t="s">
        <v>37</v>
      </c>
      <c r="H3" s="43"/>
      <c r="I3" s="14"/>
    </row>
    <row r="4" spans="1:9" x14ac:dyDescent="0.25">
      <c r="B4" s="15" t="s">
        <v>18</v>
      </c>
      <c r="C4" s="10">
        <v>300000</v>
      </c>
      <c r="D4" s="16"/>
      <c r="F4" s="30" t="s">
        <v>25</v>
      </c>
      <c r="G4" s="28">
        <v>500</v>
      </c>
      <c r="H4" s="29"/>
      <c r="I4" s="16"/>
    </row>
    <row r="5" spans="1:9" x14ac:dyDescent="0.25">
      <c r="B5" s="15" t="s">
        <v>20</v>
      </c>
      <c r="C5" s="11">
        <v>4.7E-2</v>
      </c>
      <c r="D5" s="16"/>
      <c r="F5" s="19"/>
      <c r="I5" s="16"/>
    </row>
    <row r="6" spans="1:9" ht="30" x14ac:dyDescent="0.25">
      <c r="B6" s="19"/>
      <c r="D6" s="16"/>
      <c r="F6" s="31"/>
      <c r="G6" s="24" t="s">
        <v>27</v>
      </c>
      <c r="H6" s="25" t="s">
        <v>29</v>
      </c>
      <c r="I6" s="32"/>
    </row>
    <row r="7" spans="1:9" ht="15.75" thickBot="1" x14ac:dyDescent="0.3">
      <c r="B7" s="18" t="s">
        <v>21</v>
      </c>
      <c r="C7" s="21">
        <f>pmt</f>
        <v>1555.9134283179421</v>
      </c>
      <c r="D7" s="17"/>
      <c r="F7" s="33" t="s">
        <v>28</v>
      </c>
      <c r="G7" s="40">
        <f>'Amortization Schedule'!F3</f>
        <v>260128.83419445914</v>
      </c>
      <c r="H7" s="40">
        <f>'Amortization Schedule'!G3</f>
        <v>205395.61979440536</v>
      </c>
      <c r="I7" s="32"/>
    </row>
    <row r="8" spans="1:9" x14ac:dyDescent="0.25">
      <c r="F8" s="34" t="s">
        <v>23</v>
      </c>
      <c r="G8" s="27">
        <f>C3</f>
        <v>30</v>
      </c>
      <c r="H8" s="27">
        <f>'Amortization Schedule'!K16</f>
        <v>24</v>
      </c>
      <c r="I8" s="35" t="s">
        <v>24</v>
      </c>
    </row>
    <row r="9" spans="1:9" x14ac:dyDescent="0.25">
      <c r="F9" s="36"/>
      <c r="G9" s="26">
        <v>0</v>
      </c>
      <c r="H9" s="26">
        <f>'Amortization Schedule'!K17</f>
        <v>6</v>
      </c>
      <c r="I9" s="37" t="s">
        <v>11</v>
      </c>
    </row>
    <row r="10" spans="1:9" x14ac:dyDescent="0.25">
      <c r="F10" s="19"/>
      <c r="I10" s="16"/>
    </row>
    <row r="11" spans="1:9" ht="45.75" thickBot="1" x14ac:dyDescent="0.3">
      <c r="F11" s="38"/>
      <c r="G11" s="39" t="s">
        <v>26</v>
      </c>
      <c r="H11" s="41">
        <f>G7-H7</f>
        <v>54733.214400053781</v>
      </c>
      <c r="I11" s="17"/>
    </row>
    <row r="13" spans="1:9" x14ac:dyDescent="0.25">
      <c r="H13" s="3"/>
    </row>
    <row r="18" spans="2:6" x14ac:dyDescent="0.25">
      <c r="F18" s="22"/>
    </row>
    <row r="19" spans="2:6" x14ac:dyDescent="0.25">
      <c r="B19" s="23"/>
      <c r="C19" s="20"/>
    </row>
  </sheetData>
  <mergeCells count="1">
    <mergeCell ref="G3:H3"/>
  </mergeCells>
  <dataValidations count="2">
    <dataValidation type="list" allowBlank="1" showInputMessage="1" showErrorMessage="1" sqref="G3" xr:uid="{F2A2EC26-DDB8-4856-B091-2AF7B2EE056D}">
      <formula1>"(No extra payment),Month,Two months,Three months,Four months,Six months,Year,Two Years"</formula1>
    </dataValidation>
    <dataValidation type="custom" allowBlank="1" showInputMessage="1" showErrorMessage="1" errorTitle="Loan Amount out of range!" error="Loan Amount must be positive with a maximum of 30 years!" sqref="C3" xr:uid="{26BF1794-F243-457C-84EE-B70070B815E7}">
      <formula1>(C3&gt;0)*(C3&lt;=30)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3" name="Button 6">
              <controlPr defaultSize="0" print="0" autoFill="0" autoPict="0" macro="[0]!Grade">
                <anchor moveWithCells="1" sizeWithCells="1">
                  <from>
                    <xdr:col>1</xdr:col>
                    <xdr:colOff>1085850</xdr:colOff>
                    <xdr:row>8</xdr:row>
                    <xdr:rowOff>114300</xdr:rowOff>
                  </from>
                  <to>
                    <xdr:col>2</xdr:col>
                    <xdr:colOff>647700</xdr:colOff>
                    <xdr:row>10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D64642-2A25-4FD1-B06F-624A22FCE3A5}">
  <sheetPr codeName="Sheet1"/>
  <dimension ref="A1:O367"/>
  <sheetViews>
    <sheetView workbookViewId="0">
      <selection activeCell="K17" sqref="K17"/>
    </sheetView>
  </sheetViews>
  <sheetFormatPr defaultRowHeight="15" x14ac:dyDescent="0.25"/>
  <cols>
    <col min="2" max="2" width="12.42578125" bestFit="1" customWidth="1"/>
    <col min="3" max="4" width="10.42578125" bestFit="1" customWidth="1"/>
    <col min="5" max="6" width="13.42578125" bestFit="1" customWidth="1"/>
    <col min="7" max="7" width="12.42578125" customWidth="1"/>
    <col min="8" max="8" width="11.28515625" bestFit="1" customWidth="1"/>
    <col min="9" max="9" width="12" customWidth="1"/>
    <col min="10" max="10" width="11.85546875" customWidth="1"/>
    <col min="11" max="11" width="16" customWidth="1"/>
    <col min="12" max="12" width="11" customWidth="1"/>
  </cols>
  <sheetData>
    <row r="1" spans="1:15" x14ac:dyDescent="0.25">
      <c r="A1" s="5" t="s">
        <v>14</v>
      </c>
    </row>
    <row r="2" spans="1:15" x14ac:dyDescent="0.25">
      <c r="E2" t="s">
        <v>15</v>
      </c>
      <c r="F2" s="8">
        <f>pmt*n*12</f>
        <v>560128.83419445925</v>
      </c>
      <c r="G2" t="s">
        <v>16</v>
      </c>
    </row>
    <row r="3" spans="1:15" x14ac:dyDescent="0.25">
      <c r="A3" t="s">
        <v>13</v>
      </c>
      <c r="B3">
        <f>Dashboard!C3</f>
        <v>30</v>
      </c>
      <c r="C3" t="s">
        <v>12</v>
      </c>
      <c r="E3" t="s">
        <v>30</v>
      </c>
      <c r="F3" s="1">
        <f>-CUMIPMT(int/12,n*12,P,1,COUNTA(_xlfn.SEQUENCE(n*12)),0)</f>
        <v>260128.83419445914</v>
      </c>
      <c r="G3" s="1">
        <f>SUM(C8:C367)</f>
        <v>205395.61979440536</v>
      </c>
      <c r="J3" s="5" t="s">
        <v>8</v>
      </c>
    </row>
    <row r="4" spans="1:15" x14ac:dyDescent="0.25">
      <c r="A4" t="s">
        <v>0</v>
      </c>
      <c r="B4" s="7">
        <f>Dashboard!C4</f>
        <v>300000</v>
      </c>
      <c r="J4" t="s">
        <v>9</v>
      </c>
      <c r="K4">
        <f>IF(Dashboard!G3="(No extra payment)",0,IF(Dashboard!G3="Month",1,IF(Dashboard!G3="Two months",2,IF(Dashboard!G3="Three months",3,IF(Dashboard!G3="Four months",4,IF(Dashboard!G3="Six months",6,IF(Dashboard!G3="Year",12,IF(Dashboard!G3="Two Years",24))))))))</f>
        <v>3</v>
      </c>
      <c r="L4" t="s">
        <v>31</v>
      </c>
    </row>
    <row r="5" spans="1:15" x14ac:dyDescent="0.25">
      <c r="A5" t="s">
        <v>7</v>
      </c>
      <c r="B5" s="6">
        <f>Dashboard!C5</f>
        <v>4.7E-2</v>
      </c>
      <c r="D5" s="4" t="s">
        <v>34</v>
      </c>
      <c r="E5" s="1">
        <f>-PMT(int/12,n*12,P)</f>
        <v>1555.9134283179421</v>
      </c>
    </row>
    <row r="6" spans="1:15" x14ac:dyDescent="0.25">
      <c r="J6" s="4" t="s">
        <v>10</v>
      </c>
      <c r="K6" s="2">
        <f>Dashboard!G4</f>
        <v>500</v>
      </c>
    </row>
    <row r="7" spans="1:15" x14ac:dyDescent="0.25">
      <c r="A7" s="5" t="s">
        <v>1</v>
      </c>
      <c r="B7" s="5" t="s">
        <v>2</v>
      </c>
      <c r="C7" s="5" t="s">
        <v>3</v>
      </c>
      <c r="D7" s="5" t="s">
        <v>4</v>
      </c>
      <c r="E7" s="5" t="s">
        <v>6</v>
      </c>
      <c r="F7" s="5" t="s">
        <v>5</v>
      </c>
      <c r="G7" s="5"/>
      <c r="H7" s="5"/>
    </row>
    <row r="8" spans="1:15" x14ac:dyDescent="0.25">
      <c r="A8">
        <v>1</v>
      </c>
      <c r="B8" s="8">
        <f>P</f>
        <v>300000</v>
      </c>
      <c r="C8" s="8">
        <f t="shared" ref="C8:C71" si="0">B8*int/12</f>
        <v>1175</v>
      </c>
      <c r="D8" s="8">
        <f>pmt-C8</f>
        <v>380.91342831794213</v>
      </c>
      <c r="E8" s="2">
        <f t="shared" ref="E8:E71" si="1">IFERROR(IF(MOD(A8,interval)=0,extrapmt,0),0)</f>
        <v>0</v>
      </c>
      <c r="F8" s="1">
        <f>IF(B8-D8-E8&lt;0,0,B8-D8-E8)</f>
        <v>299619.08657168207</v>
      </c>
      <c r="G8" s="1">
        <f t="shared" ref="G8:G71" si="2">B8*int/12</f>
        <v>1175</v>
      </c>
      <c r="H8" s="4">
        <f>(F8&gt;0)*(F9=0)</f>
        <v>0</v>
      </c>
      <c r="I8" s="9"/>
      <c r="K8">
        <f>INDEX(A8:A367,MATCH(1,H8:H367,0))</f>
        <v>293</v>
      </c>
      <c r="L8" t="s">
        <v>32</v>
      </c>
    </row>
    <row r="9" spans="1:15" x14ac:dyDescent="0.25">
      <c r="A9">
        <v>2</v>
      </c>
      <c r="B9" s="1">
        <f>F8</f>
        <v>299619.08657168207</v>
      </c>
      <c r="C9" s="8">
        <f t="shared" si="0"/>
        <v>1173.5080890724214</v>
      </c>
      <c r="D9" s="8">
        <f t="shared" ref="D9:D71" si="3">pmt-C9</f>
        <v>382.40533924552074</v>
      </c>
      <c r="E9" s="2">
        <f t="shared" si="1"/>
        <v>0</v>
      </c>
      <c r="F9" s="1">
        <f t="shared" ref="F9:F72" si="4">IF(B9-D9-E9&lt;0,0,B9-D9-E9)</f>
        <v>299236.68123243656</v>
      </c>
      <c r="G9" s="1">
        <f t="shared" si="2"/>
        <v>1173.5080890724214</v>
      </c>
      <c r="H9" s="4">
        <f t="shared" ref="H9:H72" si="5">(F9&gt;0)*(F10=0)</f>
        <v>0</v>
      </c>
      <c r="I9" s="2"/>
      <c r="K9" s="2" cm="1">
        <f t="array" ref="K9">INDEX(B8:B367,MATCH(1,H8:H367,0)+1)+INDEX(C8:C367,MATCH(1,H8:H367,0)+1)</f>
        <v>1012.9852972482648</v>
      </c>
      <c r="L9" t="s">
        <v>33</v>
      </c>
    </row>
    <row r="10" spans="1:15" x14ac:dyDescent="0.25">
      <c r="A10">
        <v>3</v>
      </c>
      <c r="B10" s="1">
        <f>F9</f>
        <v>299236.68123243656</v>
      </c>
      <c r="C10" s="8">
        <f t="shared" si="0"/>
        <v>1172.0103348270432</v>
      </c>
      <c r="D10" s="8">
        <f t="shared" si="3"/>
        <v>383.90309349089898</v>
      </c>
      <c r="E10" s="2">
        <f t="shared" si="1"/>
        <v>500</v>
      </c>
      <c r="F10" s="1">
        <f>IF(B10-D10-E10&lt;0,0,B10-D10-E10)</f>
        <v>298352.77813894564</v>
      </c>
      <c r="G10" s="1">
        <f t="shared" si="2"/>
        <v>1172.0103348270432</v>
      </c>
      <c r="H10" s="4">
        <f t="shared" si="5"/>
        <v>0</v>
      </c>
      <c r="I10" s="3"/>
    </row>
    <row r="11" spans="1:15" x14ac:dyDescent="0.25">
      <c r="A11">
        <v>4</v>
      </c>
      <c r="B11" s="1">
        <f t="shared" ref="B11:B74" si="6">F10</f>
        <v>298352.77813894564</v>
      </c>
      <c r="C11" s="8">
        <f t="shared" si="0"/>
        <v>1168.5483810442038</v>
      </c>
      <c r="D11" s="8">
        <f t="shared" si="3"/>
        <v>387.36504727373836</v>
      </c>
      <c r="E11" s="2">
        <f t="shared" si="1"/>
        <v>0</v>
      </c>
      <c r="F11" s="1">
        <f t="shared" si="4"/>
        <v>297965.41309167189</v>
      </c>
      <c r="G11" s="1">
        <f t="shared" si="2"/>
        <v>1168.5483810442038</v>
      </c>
      <c r="H11" s="4">
        <f t="shared" si="5"/>
        <v>0</v>
      </c>
    </row>
    <row r="12" spans="1:15" x14ac:dyDescent="0.25">
      <c r="A12">
        <v>5</v>
      </c>
      <c r="B12" s="1">
        <f t="shared" si="6"/>
        <v>297965.41309167189</v>
      </c>
      <c r="C12" s="8">
        <f t="shared" si="0"/>
        <v>1167.0312012757149</v>
      </c>
      <c r="D12" s="8">
        <f t="shared" si="3"/>
        <v>388.88222704222721</v>
      </c>
      <c r="E12" s="2">
        <f t="shared" si="1"/>
        <v>0</v>
      </c>
      <c r="F12" s="1">
        <f t="shared" si="4"/>
        <v>297576.53086462966</v>
      </c>
      <c r="G12" s="1">
        <f t="shared" si="2"/>
        <v>1167.0312012757149</v>
      </c>
      <c r="H12" s="4">
        <f t="shared" si="5"/>
        <v>0</v>
      </c>
      <c r="I12" s="3"/>
      <c r="J12" s="4" t="s">
        <v>35</v>
      </c>
      <c r="K12" s="3">
        <f>ROUND((K8/interval),0)*extrapmt</f>
        <v>49000</v>
      </c>
    </row>
    <row r="13" spans="1:15" x14ac:dyDescent="0.25">
      <c r="A13">
        <v>6</v>
      </c>
      <c r="B13" s="1">
        <f t="shared" si="6"/>
        <v>297576.53086462966</v>
      </c>
      <c r="C13" s="8">
        <f t="shared" si="0"/>
        <v>1165.5080792197996</v>
      </c>
      <c r="D13" s="8">
        <f t="shared" si="3"/>
        <v>390.40534909814255</v>
      </c>
      <c r="E13" s="2">
        <f t="shared" si="1"/>
        <v>500</v>
      </c>
      <c r="F13" s="1">
        <f t="shared" si="4"/>
        <v>296686.12551553152</v>
      </c>
      <c r="G13" s="1">
        <f t="shared" si="2"/>
        <v>1165.5080792197996</v>
      </c>
      <c r="H13" s="4">
        <f t="shared" si="5"/>
        <v>0</v>
      </c>
      <c r="O13">
        <v>192</v>
      </c>
    </row>
    <row r="14" spans="1:15" x14ac:dyDescent="0.25">
      <c r="A14">
        <v>7</v>
      </c>
      <c r="B14" s="1">
        <f t="shared" si="6"/>
        <v>296686.12551553152</v>
      </c>
      <c r="C14" s="8">
        <f t="shared" si="0"/>
        <v>1162.0206582691651</v>
      </c>
      <c r="D14" s="8">
        <f t="shared" si="3"/>
        <v>393.89277004877704</v>
      </c>
      <c r="E14" s="2">
        <f t="shared" si="1"/>
        <v>0</v>
      </c>
      <c r="F14" s="1">
        <f t="shared" si="4"/>
        <v>296292.23274548276</v>
      </c>
      <c r="G14" s="1">
        <f t="shared" si="2"/>
        <v>1162.0206582691651</v>
      </c>
      <c r="H14" s="4">
        <f t="shared" si="5"/>
        <v>0</v>
      </c>
      <c r="I14" s="1"/>
    </row>
    <row r="15" spans="1:15" x14ac:dyDescent="0.25">
      <c r="A15">
        <v>8</v>
      </c>
      <c r="B15" s="1">
        <f t="shared" si="6"/>
        <v>296292.23274548276</v>
      </c>
      <c r="C15" s="8">
        <f t="shared" si="0"/>
        <v>1160.4779115864742</v>
      </c>
      <c r="D15" s="8">
        <f t="shared" si="3"/>
        <v>395.43551673146794</v>
      </c>
      <c r="E15" s="2">
        <f t="shared" si="1"/>
        <v>0</v>
      </c>
      <c r="F15" s="1">
        <f t="shared" si="4"/>
        <v>295896.7972287513</v>
      </c>
      <c r="G15" s="1">
        <f t="shared" si="2"/>
        <v>1160.4779115864742</v>
      </c>
      <c r="H15" s="4">
        <f t="shared" si="5"/>
        <v>0</v>
      </c>
    </row>
    <row r="16" spans="1:15" x14ac:dyDescent="0.25">
      <c r="A16">
        <v>9</v>
      </c>
      <c r="B16" s="1">
        <f t="shared" si="6"/>
        <v>295896.7972287513</v>
      </c>
      <c r="C16" s="8">
        <f t="shared" si="0"/>
        <v>1158.929122479276</v>
      </c>
      <c r="D16" s="8">
        <f t="shared" si="3"/>
        <v>396.98430583866616</v>
      </c>
      <c r="E16" s="2">
        <f t="shared" si="1"/>
        <v>500</v>
      </c>
      <c r="F16" s="1">
        <f t="shared" si="4"/>
        <v>294999.81292291265</v>
      </c>
      <c r="G16" s="1">
        <f t="shared" si="2"/>
        <v>1158.929122479276</v>
      </c>
      <c r="H16" s="4">
        <f t="shared" si="5"/>
        <v>0</v>
      </c>
      <c r="J16" t="s">
        <v>38</v>
      </c>
      <c r="K16">
        <f>IF(K8=12,INT((K8+1)/12)+1,INT((K8+1)/12))</f>
        <v>24</v>
      </c>
      <c r="L16" t="s">
        <v>41</v>
      </c>
    </row>
    <row r="17" spans="1:12" x14ac:dyDescent="0.25">
      <c r="A17">
        <v>10</v>
      </c>
      <c r="B17" s="1">
        <f t="shared" si="6"/>
        <v>294999.81292291265</v>
      </c>
      <c r="C17" s="8">
        <f t="shared" si="0"/>
        <v>1155.4159339480746</v>
      </c>
      <c r="D17" s="8">
        <f t="shared" si="3"/>
        <v>400.49749436986758</v>
      </c>
      <c r="E17" s="2">
        <f t="shared" si="1"/>
        <v>0</v>
      </c>
      <c r="F17" s="1">
        <f t="shared" si="4"/>
        <v>294599.31542854279</v>
      </c>
      <c r="G17" s="1">
        <f t="shared" si="2"/>
        <v>1155.4159339480746</v>
      </c>
      <c r="H17" s="4">
        <f t="shared" si="5"/>
        <v>0</v>
      </c>
      <c r="J17" s="1" t="s">
        <v>1</v>
      </c>
      <c r="K17">
        <f>IF(MOD(K8+1,1*12)&gt;12,0,(MOD(K8+1,1*12)))</f>
        <v>6</v>
      </c>
      <c r="L17" t="s">
        <v>40</v>
      </c>
    </row>
    <row r="18" spans="1:12" x14ac:dyDescent="0.25">
      <c r="A18">
        <v>11</v>
      </c>
      <c r="B18" s="1">
        <f t="shared" si="6"/>
        <v>294599.31542854279</v>
      </c>
      <c r="C18" s="8">
        <f t="shared" si="0"/>
        <v>1153.8473187617926</v>
      </c>
      <c r="D18" s="8">
        <f t="shared" si="3"/>
        <v>402.06610955614951</v>
      </c>
      <c r="E18" s="2">
        <f t="shared" si="1"/>
        <v>0</v>
      </c>
      <c r="F18" s="1">
        <f t="shared" si="4"/>
        <v>294197.24931898667</v>
      </c>
      <c r="G18" s="1">
        <f t="shared" si="2"/>
        <v>1153.8473187617926</v>
      </c>
      <c r="H18" s="4">
        <f t="shared" si="5"/>
        <v>0</v>
      </c>
    </row>
    <row r="19" spans="1:12" x14ac:dyDescent="0.25">
      <c r="A19">
        <v>12</v>
      </c>
      <c r="B19" s="1">
        <f t="shared" si="6"/>
        <v>294197.24931898667</v>
      </c>
      <c r="C19" s="8">
        <f t="shared" si="0"/>
        <v>1152.2725598326977</v>
      </c>
      <c r="D19" s="8">
        <f t="shared" si="3"/>
        <v>403.64086848524448</v>
      </c>
      <c r="E19" s="2">
        <f t="shared" si="1"/>
        <v>500</v>
      </c>
      <c r="F19" s="1">
        <f t="shared" si="4"/>
        <v>293293.6084505014</v>
      </c>
      <c r="G19" s="1">
        <f t="shared" si="2"/>
        <v>1152.2725598326977</v>
      </c>
      <c r="H19" s="4">
        <f t="shared" si="5"/>
        <v>0</v>
      </c>
    </row>
    <row r="20" spans="1:12" x14ac:dyDescent="0.25">
      <c r="A20">
        <v>13</v>
      </c>
      <c r="B20" s="1">
        <f t="shared" si="6"/>
        <v>293293.6084505014</v>
      </c>
      <c r="C20" s="8">
        <f t="shared" si="0"/>
        <v>1148.7332997644637</v>
      </c>
      <c r="D20" s="8">
        <f t="shared" si="3"/>
        <v>407.18012855347843</v>
      </c>
      <c r="E20" s="2">
        <f t="shared" si="1"/>
        <v>0</v>
      </c>
      <c r="F20" s="1">
        <f t="shared" si="4"/>
        <v>292886.42832194793</v>
      </c>
      <c r="G20" s="1">
        <f t="shared" si="2"/>
        <v>1148.7332997644637</v>
      </c>
      <c r="H20" s="4">
        <f t="shared" si="5"/>
        <v>0</v>
      </c>
    </row>
    <row r="21" spans="1:12" x14ac:dyDescent="0.25">
      <c r="A21">
        <v>14</v>
      </c>
      <c r="B21" s="1">
        <f t="shared" si="6"/>
        <v>292886.42832194793</v>
      </c>
      <c r="C21" s="8">
        <f t="shared" si="0"/>
        <v>1147.1385109276293</v>
      </c>
      <c r="D21" s="8">
        <f t="shared" si="3"/>
        <v>408.77491739031279</v>
      </c>
      <c r="E21" s="2">
        <f t="shared" si="1"/>
        <v>0</v>
      </c>
      <c r="F21" s="1">
        <f t="shared" si="4"/>
        <v>292477.65340455761</v>
      </c>
      <c r="G21" s="1">
        <f t="shared" si="2"/>
        <v>1147.1385109276293</v>
      </c>
      <c r="H21" s="4">
        <f t="shared" si="5"/>
        <v>0</v>
      </c>
    </row>
    <row r="22" spans="1:12" x14ac:dyDescent="0.25">
      <c r="A22">
        <v>15</v>
      </c>
      <c r="B22" s="1">
        <f t="shared" si="6"/>
        <v>292477.65340455761</v>
      </c>
      <c r="C22" s="8">
        <f t="shared" si="0"/>
        <v>1145.5374758345172</v>
      </c>
      <c r="D22" s="8">
        <f t="shared" si="3"/>
        <v>410.37595248342495</v>
      </c>
      <c r="E22" s="2">
        <f t="shared" si="1"/>
        <v>500</v>
      </c>
      <c r="F22" s="1">
        <f t="shared" si="4"/>
        <v>291567.27745207417</v>
      </c>
      <c r="G22" s="1">
        <f t="shared" si="2"/>
        <v>1145.5374758345172</v>
      </c>
      <c r="H22" s="4">
        <f t="shared" si="5"/>
        <v>0</v>
      </c>
    </row>
    <row r="23" spans="1:12" x14ac:dyDescent="0.25">
      <c r="A23">
        <v>16</v>
      </c>
      <c r="B23" s="1">
        <f t="shared" si="6"/>
        <v>291567.27745207417</v>
      </c>
      <c r="C23" s="8">
        <f t="shared" si="0"/>
        <v>1141.9718366872905</v>
      </c>
      <c r="D23" s="8">
        <f t="shared" si="3"/>
        <v>413.9415916306516</v>
      </c>
      <c r="E23" s="2">
        <f t="shared" si="1"/>
        <v>0</v>
      </c>
      <c r="F23" s="1">
        <f t="shared" si="4"/>
        <v>291153.33586044353</v>
      </c>
      <c r="G23" s="1">
        <f t="shared" si="2"/>
        <v>1141.9718366872905</v>
      </c>
      <c r="H23" s="4">
        <f t="shared" si="5"/>
        <v>0</v>
      </c>
    </row>
    <row r="24" spans="1:12" x14ac:dyDescent="0.25">
      <c r="A24">
        <v>17</v>
      </c>
      <c r="B24" s="1">
        <f t="shared" si="6"/>
        <v>291153.33586044353</v>
      </c>
      <c r="C24" s="8">
        <f t="shared" si="0"/>
        <v>1140.350565453404</v>
      </c>
      <c r="D24" s="8">
        <f t="shared" si="3"/>
        <v>415.56286286453815</v>
      </c>
      <c r="E24" s="2">
        <f t="shared" si="1"/>
        <v>0</v>
      </c>
      <c r="F24" s="1">
        <f t="shared" si="4"/>
        <v>290737.77299757901</v>
      </c>
      <c r="G24" s="1">
        <f t="shared" si="2"/>
        <v>1140.350565453404</v>
      </c>
      <c r="H24" s="4">
        <f t="shared" si="5"/>
        <v>0</v>
      </c>
    </row>
    <row r="25" spans="1:12" x14ac:dyDescent="0.25">
      <c r="A25">
        <v>18</v>
      </c>
      <c r="B25" s="1">
        <f t="shared" si="6"/>
        <v>290737.77299757901</v>
      </c>
      <c r="C25" s="8">
        <f t="shared" si="0"/>
        <v>1138.7229442405178</v>
      </c>
      <c r="D25" s="8">
        <f t="shared" si="3"/>
        <v>417.19048407742434</v>
      </c>
      <c r="E25" s="2">
        <f t="shared" si="1"/>
        <v>500</v>
      </c>
      <c r="F25" s="1">
        <f t="shared" si="4"/>
        <v>289820.58251350158</v>
      </c>
      <c r="G25" s="1">
        <f t="shared" si="2"/>
        <v>1138.7229442405178</v>
      </c>
      <c r="H25" s="4">
        <f t="shared" si="5"/>
        <v>0</v>
      </c>
      <c r="J25" t="s">
        <v>36</v>
      </c>
    </row>
    <row r="26" spans="1:12" x14ac:dyDescent="0.25">
      <c r="A26">
        <v>19</v>
      </c>
      <c r="B26" s="1">
        <f t="shared" si="6"/>
        <v>289820.58251350158</v>
      </c>
      <c r="C26" s="8">
        <f t="shared" si="0"/>
        <v>1135.1306148445478</v>
      </c>
      <c r="D26" s="8">
        <f t="shared" si="3"/>
        <v>420.7828134733943</v>
      </c>
      <c r="E26" s="2">
        <f t="shared" si="1"/>
        <v>0</v>
      </c>
      <c r="F26" s="1">
        <f t="shared" si="4"/>
        <v>289399.7997000282</v>
      </c>
      <c r="G26" s="1">
        <f t="shared" si="2"/>
        <v>1135.1306148445478</v>
      </c>
      <c r="H26" s="4">
        <f t="shared" si="5"/>
        <v>0</v>
      </c>
    </row>
    <row r="27" spans="1:12" x14ac:dyDescent="0.25">
      <c r="A27">
        <v>20</v>
      </c>
      <c r="B27" s="1">
        <f t="shared" si="6"/>
        <v>289399.7997000282</v>
      </c>
      <c r="C27" s="8">
        <f t="shared" si="0"/>
        <v>1133.4825488251106</v>
      </c>
      <c r="D27" s="8">
        <f t="shared" si="3"/>
        <v>422.43087949283154</v>
      </c>
      <c r="E27" s="2">
        <f t="shared" si="1"/>
        <v>0</v>
      </c>
      <c r="F27" s="1">
        <f t="shared" si="4"/>
        <v>288977.36882053537</v>
      </c>
      <c r="G27" s="1">
        <f t="shared" si="2"/>
        <v>1133.4825488251106</v>
      </c>
      <c r="H27" s="4">
        <f t="shared" si="5"/>
        <v>0</v>
      </c>
      <c r="J27" s="5" t="s">
        <v>39</v>
      </c>
    </row>
    <row r="28" spans="1:12" x14ac:dyDescent="0.25">
      <c r="A28">
        <v>21</v>
      </c>
      <c r="B28" s="1">
        <f t="shared" si="6"/>
        <v>288977.36882053537</v>
      </c>
      <c r="C28" s="8">
        <f t="shared" si="0"/>
        <v>1131.8280278804302</v>
      </c>
      <c r="D28" s="8">
        <f t="shared" si="3"/>
        <v>424.08540043751191</v>
      </c>
      <c r="E28" s="2">
        <f t="shared" si="1"/>
        <v>500</v>
      </c>
      <c r="F28" s="1">
        <f t="shared" si="4"/>
        <v>288053.28342009784</v>
      </c>
      <c r="G28" s="1">
        <f t="shared" si="2"/>
        <v>1131.8280278804302</v>
      </c>
      <c r="H28" s="4">
        <f t="shared" si="5"/>
        <v>0</v>
      </c>
    </row>
    <row r="29" spans="1:12" x14ac:dyDescent="0.25">
      <c r="A29">
        <v>22</v>
      </c>
      <c r="B29" s="1">
        <f t="shared" si="6"/>
        <v>288053.28342009784</v>
      </c>
      <c r="C29" s="8">
        <f t="shared" si="0"/>
        <v>1128.2086933953831</v>
      </c>
      <c r="D29" s="8">
        <f t="shared" si="3"/>
        <v>427.70473492255906</v>
      </c>
      <c r="E29" s="2">
        <f t="shared" si="1"/>
        <v>0</v>
      </c>
      <c r="F29" s="1">
        <f t="shared" si="4"/>
        <v>287625.57868517528</v>
      </c>
      <c r="G29" s="1">
        <f t="shared" si="2"/>
        <v>1128.2086933953831</v>
      </c>
      <c r="H29" s="4">
        <f t="shared" si="5"/>
        <v>0</v>
      </c>
    </row>
    <row r="30" spans="1:12" x14ac:dyDescent="0.25">
      <c r="A30">
        <v>23</v>
      </c>
      <c r="B30" s="1">
        <f t="shared" si="6"/>
        <v>287625.57868517528</v>
      </c>
      <c r="C30" s="8">
        <f t="shared" si="0"/>
        <v>1126.5335165169365</v>
      </c>
      <c r="D30" s="8">
        <f t="shared" si="3"/>
        <v>429.37991180100562</v>
      </c>
      <c r="E30" s="2">
        <f t="shared" si="1"/>
        <v>0</v>
      </c>
      <c r="F30" s="1">
        <f t="shared" si="4"/>
        <v>287196.19877337426</v>
      </c>
      <c r="G30" s="1">
        <f t="shared" si="2"/>
        <v>1126.5335165169365</v>
      </c>
      <c r="H30" s="4">
        <f t="shared" si="5"/>
        <v>0</v>
      </c>
    </row>
    <row r="31" spans="1:12" x14ac:dyDescent="0.25">
      <c r="A31">
        <v>24</v>
      </c>
      <c r="B31" s="1">
        <f t="shared" si="6"/>
        <v>287196.19877337426</v>
      </c>
      <c r="C31" s="8">
        <f t="shared" si="0"/>
        <v>1124.8517785290492</v>
      </c>
      <c r="D31" s="8">
        <f t="shared" si="3"/>
        <v>431.06164978889296</v>
      </c>
      <c r="E31" s="2">
        <f t="shared" si="1"/>
        <v>500</v>
      </c>
      <c r="F31" s="1">
        <f t="shared" si="4"/>
        <v>286265.13712358539</v>
      </c>
      <c r="G31" s="1">
        <f t="shared" si="2"/>
        <v>1124.8517785290492</v>
      </c>
      <c r="H31" s="4">
        <f t="shared" si="5"/>
        <v>0</v>
      </c>
    </row>
    <row r="32" spans="1:12" x14ac:dyDescent="0.25">
      <c r="A32">
        <v>25</v>
      </c>
      <c r="B32" s="1">
        <f t="shared" si="6"/>
        <v>286265.13712358539</v>
      </c>
      <c r="C32" s="8">
        <f t="shared" si="0"/>
        <v>1121.2051204007096</v>
      </c>
      <c r="D32" s="8">
        <f t="shared" si="3"/>
        <v>434.70830791723256</v>
      </c>
      <c r="E32" s="2">
        <f t="shared" si="1"/>
        <v>0</v>
      </c>
      <c r="F32" s="1">
        <f t="shared" si="4"/>
        <v>285830.42881566816</v>
      </c>
      <c r="G32" s="1">
        <f t="shared" si="2"/>
        <v>1121.2051204007096</v>
      </c>
      <c r="H32" s="4">
        <f t="shared" si="5"/>
        <v>0</v>
      </c>
    </row>
    <row r="33" spans="1:8" x14ac:dyDescent="0.25">
      <c r="A33">
        <v>26</v>
      </c>
      <c r="B33" s="1">
        <f t="shared" si="6"/>
        <v>285830.42881566816</v>
      </c>
      <c r="C33" s="8">
        <f t="shared" si="0"/>
        <v>1119.502512861367</v>
      </c>
      <c r="D33" s="8">
        <f t="shared" si="3"/>
        <v>436.41091545657514</v>
      </c>
      <c r="E33" s="2">
        <f t="shared" si="1"/>
        <v>0</v>
      </c>
      <c r="F33" s="1">
        <f t="shared" si="4"/>
        <v>285394.01790021156</v>
      </c>
      <c r="G33" s="1">
        <f t="shared" si="2"/>
        <v>1119.502512861367</v>
      </c>
      <c r="H33" s="4">
        <f t="shared" si="5"/>
        <v>0</v>
      </c>
    </row>
    <row r="34" spans="1:8" x14ac:dyDescent="0.25">
      <c r="A34">
        <v>27</v>
      </c>
      <c r="B34" s="1">
        <f t="shared" si="6"/>
        <v>285394.01790021156</v>
      </c>
      <c r="C34" s="8">
        <f t="shared" si="0"/>
        <v>1117.7932367758287</v>
      </c>
      <c r="D34" s="8">
        <f t="shared" si="3"/>
        <v>438.12019154211339</v>
      </c>
      <c r="E34" s="2">
        <f t="shared" si="1"/>
        <v>500</v>
      </c>
      <c r="F34" s="1">
        <f t="shared" si="4"/>
        <v>284455.89770866942</v>
      </c>
      <c r="G34" s="1">
        <f t="shared" si="2"/>
        <v>1117.7932367758287</v>
      </c>
      <c r="H34" s="4">
        <f t="shared" si="5"/>
        <v>0</v>
      </c>
    </row>
    <row r="35" spans="1:8" x14ac:dyDescent="0.25">
      <c r="A35">
        <v>28</v>
      </c>
      <c r="B35" s="1">
        <f t="shared" si="6"/>
        <v>284455.89770866942</v>
      </c>
      <c r="C35" s="8">
        <f t="shared" si="0"/>
        <v>1114.1189326922886</v>
      </c>
      <c r="D35" s="8">
        <f t="shared" si="3"/>
        <v>441.79449562565355</v>
      </c>
      <c r="E35" s="2">
        <f t="shared" si="1"/>
        <v>0</v>
      </c>
      <c r="F35" s="1">
        <f t="shared" si="4"/>
        <v>284014.10321304377</v>
      </c>
      <c r="G35" s="1">
        <f t="shared" si="2"/>
        <v>1114.1189326922886</v>
      </c>
      <c r="H35" s="4">
        <f t="shared" si="5"/>
        <v>0</v>
      </c>
    </row>
    <row r="36" spans="1:8" x14ac:dyDescent="0.25">
      <c r="A36">
        <v>29</v>
      </c>
      <c r="B36" s="1">
        <f t="shared" si="6"/>
        <v>284014.10321304377</v>
      </c>
      <c r="C36" s="8">
        <f t="shared" si="0"/>
        <v>1112.3885709177548</v>
      </c>
      <c r="D36" s="8">
        <f t="shared" si="3"/>
        <v>443.52485740018733</v>
      </c>
      <c r="E36" s="2">
        <f t="shared" si="1"/>
        <v>0</v>
      </c>
      <c r="F36" s="1">
        <f t="shared" si="4"/>
        <v>283570.57835564361</v>
      </c>
      <c r="G36" s="1">
        <f t="shared" si="2"/>
        <v>1112.3885709177548</v>
      </c>
      <c r="H36" s="4">
        <f t="shared" si="5"/>
        <v>0</v>
      </c>
    </row>
    <row r="37" spans="1:8" x14ac:dyDescent="0.25">
      <c r="A37">
        <v>30</v>
      </c>
      <c r="B37" s="1">
        <f t="shared" si="6"/>
        <v>283570.57835564361</v>
      </c>
      <c r="C37" s="8">
        <f t="shared" si="0"/>
        <v>1110.6514318929374</v>
      </c>
      <c r="D37" s="8">
        <f t="shared" si="3"/>
        <v>445.26199642500478</v>
      </c>
      <c r="E37" s="2">
        <f t="shared" si="1"/>
        <v>500</v>
      </c>
      <c r="F37" s="1">
        <f t="shared" si="4"/>
        <v>282625.31635921862</v>
      </c>
      <c r="G37" s="1">
        <f t="shared" si="2"/>
        <v>1110.6514318929374</v>
      </c>
      <c r="H37" s="4">
        <f t="shared" si="5"/>
        <v>0</v>
      </c>
    </row>
    <row r="38" spans="1:8" x14ac:dyDescent="0.25">
      <c r="A38">
        <v>31</v>
      </c>
      <c r="B38" s="1">
        <f t="shared" si="6"/>
        <v>282625.31635921862</v>
      </c>
      <c r="C38" s="8">
        <f t="shared" si="0"/>
        <v>1106.9491557402728</v>
      </c>
      <c r="D38" s="8">
        <f t="shared" si="3"/>
        <v>448.96427257766936</v>
      </c>
      <c r="E38" s="2">
        <f t="shared" si="1"/>
        <v>0</v>
      </c>
      <c r="F38" s="1">
        <f t="shared" si="4"/>
        <v>282176.35208664095</v>
      </c>
      <c r="G38" s="1">
        <f t="shared" si="2"/>
        <v>1106.9491557402728</v>
      </c>
      <c r="H38" s="4">
        <f t="shared" si="5"/>
        <v>0</v>
      </c>
    </row>
    <row r="39" spans="1:8" x14ac:dyDescent="0.25">
      <c r="A39">
        <v>32</v>
      </c>
      <c r="B39" s="1">
        <f t="shared" si="6"/>
        <v>282176.35208664095</v>
      </c>
      <c r="C39" s="8">
        <f t="shared" si="0"/>
        <v>1105.1907123393437</v>
      </c>
      <c r="D39" s="8">
        <f t="shared" si="3"/>
        <v>450.72271597859844</v>
      </c>
      <c r="E39" s="2">
        <f t="shared" si="1"/>
        <v>0</v>
      </c>
      <c r="F39" s="1">
        <f t="shared" si="4"/>
        <v>281725.62937066233</v>
      </c>
      <c r="G39" s="1">
        <f t="shared" si="2"/>
        <v>1105.1907123393437</v>
      </c>
      <c r="H39" s="4">
        <f t="shared" si="5"/>
        <v>0</v>
      </c>
    </row>
    <row r="40" spans="1:8" x14ac:dyDescent="0.25">
      <c r="A40">
        <v>33</v>
      </c>
      <c r="B40" s="1">
        <f t="shared" si="6"/>
        <v>281725.62937066233</v>
      </c>
      <c r="C40" s="8">
        <f t="shared" si="0"/>
        <v>1103.4253817017609</v>
      </c>
      <c r="D40" s="8">
        <f t="shared" si="3"/>
        <v>452.48804661618124</v>
      </c>
      <c r="E40" s="2">
        <f t="shared" si="1"/>
        <v>500</v>
      </c>
      <c r="F40" s="1">
        <f t="shared" si="4"/>
        <v>280773.14132404613</v>
      </c>
      <c r="G40" s="1">
        <f t="shared" si="2"/>
        <v>1103.4253817017609</v>
      </c>
      <c r="H40" s="4">
        <f t="shared" si="5"/>
        <v>0</v>
      </c>
    </row>
    <row r="41" spans="1:8" x14ac:dyDescent="0.25">
      <c r="A41">
        <v>34</v>
      </c>
      <c r="B41" s="1">
        <f t="shared" si="6"/>
        <v>280773.14132404613</v>
      </c>
      <c r="C41" s="8">
        <f t="shared" si="0"/>
        <v>1099.6948035191806</v>
      </c>
      <c r="D41" s="8">
        <f t="shared" si="3"/>
        <v>456.21862479876154</v>
      </c>
      <c r="E41" s="2">
        <f t="shared" si="1"/>
        <v>0</v>
      </c>
      <c r="F41" s="1">
        <f t="shared" si="4"/>
        <v>280316.92269924737</v>
      </c>
      <c r="G41" s="1">
        <f t="shared" si="2"/>
        <v>1099.6948035191806</v>
      </c>
      <c r="H41" s="4">
        <f t="shared" si="5"/>
        <v>0</v>
      </c>
    </row>
    <row r="42" spans="1:8" x14ac:dyDescent="0.25">
      <c r="A42">
        <v>35</v>
      </c>
      <c r="B42" s="1">
        <f t="shared" si="6"/>
        <v>280316.92269924737</v>
      </c>
      <c r="C42" s="8">
        <f t="shared" si="0"/>
        <v>1097.9079472387189</v>
      </c>
      <c r="D42" s="8">
        <f t="shared" si="3"/>
        <v>458.00548107922327</v>
      </c>
      <c r="E42" s="2">
        <f t="shared" si="1"/>
        <v>0</v>
      </c>
      <c r="F42" s="1">
        <f t="shared" si="4"/>
        <v>279858.91721816815</v>
      </c>
      <c r="G42" s="1">
        <f t="shared" si="2"/>
        <v>1097.9079472387189</v>
      </c>
      <c r="H42" s="4">
        <f t="shared" si="5"/>
        <v>0</v>
      </c>
    </row>
    <row r="43" spans="1:8" x14ac:dyDescent="0.25">
      <c r="A43">
        <v>36</v>
      </c>
      <c r="B43" s="1">
        <f t="shared" si="6"/>
        <v>279858.91721816815</v>
      </c>
      <c r="C43" s="8">
        <f t="shared" si="0"/>
        <v>1096.1140924378253</v>
      </c>
      <c r="D43" s="8">
        <f t="shared" si="3"/>
        <v>459.79933588011681</v>
      </c>
      <c r="E43" s="2">
        <f t="shared" si="1"/>
        <v>500</v>
      </c>
      <c r="F43" s="1">
        <f t="shared" si="4"/>
        <v>278899.11788228806</v>
      </c>
      <c r="G43" s="1">
        <f t="shared" si="2"/>
        <v>1096.1140924378253</v>
      </c>
      <c r="H43" s="4">
        <f t="shared" si="5"/>
        <v>0</v>
      </c>
    </row>
    <row r="44" spans="1:8" x14ac:dyDescent="0.25">
      <c r="A44">
        <v>37</v>
      </c>
      <c r="B44" s="1">
        <f t="shared" si="6"/>
        <v>278899.11788228806</v>
      </c>
      <c r="C44" s="8">
        <f t="shared" si="0"/>
        <v>1092.3548783722949</v>
      </c>
      <c r="D44" s="8">
        <f t="shared" si="3"/>
        <v>463.5585499456472</v>
      </c>
      <c r="E44" s="2">
        <f t="shared" si="1"/>
        <v>0</v>
      </c>
      <c r="F44" s="1">
        <f t="shared" si="4"/>
        <v>278435.55933234241</v>
      </c>
      <c r="G44" s="1">
        <f t="shared" si="2"/>
        <v>1092.3548783722949</v>
      </c>
      <c r="H44" s="4">
        <f t="shared" si="5"/>
        <v>0</v>
      </c>
    </row>
    <row r="45" spans="1:8" x14ac:dyDescent="0.25">
      <c r="A45">
        <v>38</v>
      </c>
      <c r="B45" s="1">
        <f t="shared" si="6"/>
        <v>278435.55933234241</v>
      </c>
      <c r="C45" s="8">
        <f t="shared" si="0"/>
        <v>1090.5392740516745</v>
      </c>
      <c r="D45" s="8">
        <f t="shared" si="3"/>
        <v>465.37415426626762</v>
      </c>
      <c r="E45" s="2">
        <f t="shared" si="1"/>
        <v>0</v>
      </c>
      <c r="F45" s="1">
        <f t="shared" si="4"/>
        <v>277970.18517807615</v>
      </c>
      <c r="G45" s="1">
        <f t="shared" si="2"/>
        <v>1090.5392740516745</v>
      </c>
      <c r="H45" s="4">
        <f t="shared" si="5"/>
        <v>0</v>
      </c>
    </row>
    <row r="46" spans="1:8" x14ac:dyDescent="0.25">
      <c r="A46">
        <v>39</v>
      </c>
      <c r="B46" s="1">
        <f t="shared" si="6"/>
        <v>277970.18517807615</v>
      </c>
      <c r="C46" s="8">
        <f t="shared" si="0"/>
        <v>1088.7165586141316</v>
      </c>
      <c r="D46" s="8">
        <f t="shared" si="3"/>
        <v>467.19686970381053</v>
      </c>
      <c r="E46" s="2">
        <f t="shared" si="1"/>
        <v>500</v>
      </c>
      <c r="F46" s="1">
        <f t="shared" si="4"/>
        <v>277002.98830837233</v>
      </c>
      <c r="G46" s="1">
        <f t="shared" si="2"/>
        <v>1088.7165586141316</v>
      </c>
      <c r="H46" s="4">
        <f t="shared" si="5"/>
        <v>0</v>
      </c>
    </row>
    <row r="47" spans="1:8" x14ac:dyDescent="0.25">
      <c r="A47">
        <v>40</v>
      </c>
      <c r="B47" s="1">
        <f t="shared" si="6"/>
        <v>277002.98830837233</v>
      </c>
      <c r="C47" s="8">
        <f t="shared" si="0"/>
        <v>1084.9283708744583</v>
      </c>
      <c r="D47" s="8">
        <f t="shared" si="3"/>
        <v>470.98505744348381</v>
      </c>
      <c r="E47" s="2">
        <f t="shared" si="1"/>
        <v>0</v>
      </c>
      <c r="F47" s="1">
        <f t="shared" si="4"/>
        <v>276532.00325092883</v>
      </c>
      <c r="G47" s="1">
        <f t="shared" si="2"/>
        <v>1084.9283708744583</v>
      </c>
      <c r="H47" s="4">
        <f t="shared" si="5"/>
        <v>0</v>
      </c>
    </row>
    <row r="48" spans="1:8" x14ac:dyDescent="0.25">
      <c r="A48">
        <v>41</v>
      </c>
      <c r="B48" s="1">
        <f t="shared" si="6"/>
        <v>276532.00325092883</v>
      </c>
      <c r="C48" s="8">
        <f t="shared" si="0"/>
        <v>1083.0836793994713</v>
      </c>
      <c r="D48" s="8">
        <f t="shared" si="3"/>
        <v>472.82974891847084</v>
      </c>
      <c r="E48" s="2">
        <f t="shared" si="1"/>
        <v>0</v>
      </c>
      <c r="F48" s="1">
        <f t="shared" si="4"/>
        <v>276059.17350201035</v>
      </c>
      <c r="G48" s="1">
        <f t="shared" si="2"/>
        <v>1083.0836793994713</v>
      </c>
      <c r="H48" s="4">
        <f t="shared" si="5"/>
        <v>0</v>
      </c>
    </row>
    <row r="49" spans="1:8" x14ac:dyDescent="0.25">
      <c r="A49">
        <v>42</v>
      </c>
      <c r="B49" s="1">
        <f t="shared" si="6"/>
        <v>276059.17350201035</v>
      </c>
      <c r="C49" s="8">
        <f t="shared" si="0"/>
        <v>1081.2317628828739</v>
      </c>
      <c r="D49" s="8">
        <f t="shared" si="3"/>
        <v>474.68166543506823</v>
      </c>
      <c r="E49" s="2">
        <f t="shared" si="1"/>
        <v>500</v>
      </c>
      <c r="F49" s="1">
        <f t="shared" si="4"/>
        <v>275084.49183657527</v>
      </c>
      <c r="G49" s="1">
        <f t="shared" si="2"/>
        <v>1081.2317628828739</v>
      </c>
      <c r="H49" s="4">
        <f t="shared" si="5"/>
        <v>0</v>
      </c>
    </row>
    <row r="50" spans="1:8" x14ac:dyDescent="0.25">
      <c r="A50">
        <v>43</v>
      </c>
      <c r="B50" s="1">
        <f t="shared" si="6"/>
        <v>275084.49183657527</v>
      </c>
      <c r="C50" s="8">
        <f t="shared" si="0"/>
        <v>1077.4142596932531</v>
      </c>
      <c r="D50" s="8">
        <f t="shared" si="3"/>
        <v>478.49916862468899</v>
      </c>
      <c r="E50" s="2">
        <f t="shared" si="1"/>
        <v>0</v>
      </c>
      <c r="F50" s="1">
        <f t="shared" si="4"/>
        <v>274605.99266795057</v>
      </c>
      <c r="G50" s="1">
        <f t="shared" si="2"/>
        <v>1077.4142596932531</v>
      </c>
      <c r="H50" s="4">
        <f t="shared" si="5"/>
        <v>0</v>
      </c>
    </row>
    <row r="51" spans="1:8" x14ac:dyDescent="0.25">
      <c r="A51">
        <v>44</v>
      </c>
      <c r="B51" s="1">
        <f t="shared" si="6"/>
        <v>274605.99266795057</v>
      </c>
      <c r="C51" s="8">
        <f t="shared" si="0"/>
        <v>1075.5401379494731</v>
      </c>
      <c r="D51" s="8">
        <f t="shared" si="3"/>
        <v>480.37329036846904</v>
      </c>
      <c r="E51" s="2">
        <f t="shared" si="1"/>
        <v>0</v>
      </c>
      <c r="F51" s="1">
        <f t="shared" si="4"/>
        <v>274125.6193775821</v>
      </c>
      <c r="G51" s="1">
        <f t="shared" si="2"/>
        <v>1075.5401379494731</v>
      </c>
      <c r="H51" s="4">
        <f t="shared" si="5"/>
        <v>0</v>
      </c>
    </row>
    <row r="52" spans="1:8" x14ac:dyDescent="0.25">
      <c r="A52">
        <v>45</v>
      </c>
      <c r="B52" s="1">
        <f t="shared" si="6"/>
        <v>274125.6193775821</v>
      </c>
      <c r="C52" s="8">
        <f t="shared" si="0"/>
        <v>1073.6586758955298</v>
      </c>
      <c r="D52" s="8">
        <f t="shared" si="3"/>
        <v>482.25475242241237</v>
      </c>
      <c r="E52" s="2">
        <f t="shared" si="1"/>
        <v>500</v>
      </c>
      <c r="F52" s="1">
        <f t="shared" si="4"/>
        <v>273143.36462515971</v>
      </c>
      <c r="G52" s="1">
        <f t="shared" si="2"/>
        <v>1073.6586758955298</v>
      </c>
      <c r="H52" s="4">
        <f t="shared" si="5"/>
        <v>0</v>
      </c>
    </row>
    <row r="53" spans="1:8" x14ac:dyDescent="0.25">
      <c r="A53">
        <v>46</v>
      </c>
      <c r="B53" s="1">
        <f t="shared" si="6"/>
        <v>273143.36462515971</v>
      </c>
      <c r="C53" s="8">
        <f t="shared" si="0"/>
        <v>1069.8115114485422</v>
      </c>
      <c r="D53" s="8">
        <f t="shared" si="3"/>
        <v>486.10191686939993</v>
      </c>
      <c r="E53" s="2">
        <f t="shared" si="1"/>
        <v>0</v>
      </c>
      <c r="F53" s="1">
        <f t="shared" si="4"/>
        <v>272657.26270829031</v>
      </c>
      <c r="G53" s="1">
        <f t="shared" si="2"/>
        <v>1069.8115114485422</v>
      </c>
      <c r="H53" s="4">
        <f t="shared" si="5"/>
        <v>0</v>
      </c>
    </row>
    <row r="54" spans="1:8" x14ac:dyDescent="0.25">
      <c r="A54">
        <v>47</v>
      </c>
      <c r="B54" s="1">
        <f t="shared" si="6"/>
        <v>272657.26270829031</v>
      </c>
      <c r="C54" s="8">
        <f t="shared" si="0"/>
        <v>1067.9076122741369</v>
      </c>
      <c r="D54" s="8">
        <f t="shared" si="3"/>
        <v>488.00581604380523</v>
      </c>
      <c r="E54" s="2">
        <f t="shared" si="1"/>
        <v>0</v>
      </c>
      <c r="F54" s="1">
        <f t="shared" si="4"/>
        <v>272169.25689224649</v>
      </c>
      <c r="G54" s="1">
        <f t="shared" si="2"/>
        <v>1067.9076122741369</v>
      </c>
      <c r="H54" s="4">
        <f t="shared" si="5"/>
        <v>0</v>
      </c>
    </row>
    <row r="55" spans="1:8" x14ac:dyDescent="0.25">
      <c r="A55">
        <v>48</v>
      </c>
      <c r="B55" s="1">
        <f t="shared" si="6"/>
        <v>272169.25689224649</v>
      </c>
      <c r="C55" s="8">
        <f t="shared" si="0"/>
        <v>1065.9962561612988</v>
      </c>
      <c r="D55" s="8">
        <f t="shared" si="3"/>
        <v>489.91717215664335</v>
      </c>
      <c r="E55" s="2">
        <f t="shared" si="1"/>
        <v>500</v>
      </c>
      <c r="F55" s="1">
        <f t="shared" si="4"/>
        <v>271179.33972008986</v>
      </c>
      <c r="G55" s="1">
        <f t="shared" si="2"/>
        <v>1065.9962561612988</v>
      </c>
      <c r="H55" s="4">
        <f t="shared" si="5"/>
        <v>0</v>
      </c>
    </row>
    <row r="56" spans="1:8" x14ac:dyDescent="0.25">
      <c r="A56">
        <v>49</v>
      </c>
      <c r="B56" s="1">
        <f t="shared" si="6"/>
        <v>271179.33972008986</v>
      </c>
      <c r="C56" s="8">
        <f t="shared" si="0"/>
        <v>1062.119080570352</v>
      </c>
      <c r="D56" s="8">
        <f t="shared" si="3"/>
        <v>493.79434774759011</v>
      </c>
      <c r="E56" s="2">
        <f t="shared" si="1"/>
        <v>0</v>
      </c>
      <c r="F56" s="1">
        <f t="shared" si="4"/>
        <v>270685.54537234228</v>
      </c>
      <c r="G56" s="1">
        <f t="shared" si="2"/>
        <v>1062.119080570352</v>
      </c>
      <c r="H56" s="4">
        <f t="shared" si="5"/>
        <v>0</v>
      </c>
    </row>
    <row r="57" spans="1:8" x14ac:dyDescent="0.25">
      <c r="A57">
        <v>50</v>
      </c>
      <c r="B57" s="1">
        <f t="shared" si="6"/>
        <v>270685.54537234228</v>
      </c>
      <c r="C57" s="8">
        <f t="shared" si="0"/>
        <v>1060.1850527083407</v>
      </c>
      <c r="D57" s="8">
        <f t="shared" si="3"/>
        <v>495.72837560960147</v>
      </c>
      <c r="E57" s="2">
        <f t="shared" si="1"/>
        <v>0</v>
      </c>
      <c r="F57" s="1">
        <f t="shared" si="4"/>
        <v>270189.81699673267</v>
      </c>
      <c r="G57" s="1">
        <f t="shared" si="2"/>
        <v>1060.1850527083407</v>
      </c>
      <c r="H57" s="4">
        <f t="shared" si="5"/>
        <v>0</v>
      </c>
    </row>
    <row r="58" spans="1:8" x14ac:dyDescent="0.25">
      <c r="A58">
        <v>51</v>
      </c>
      <c r="B58" s="1">
        <f t="shared" si="6"/>
        <v>270189.81699673267</v>
      </c>
      <c r="C58" s="8">
        <f t="shared" si="0"/>
        <v>1058.2434499038698</v>
      </c>
      <c r="D58" s="8">
        <f t="shared" si="3"/>
        <v>497.66997841407238</v>
      </c>
      <c r="E58" s="2">
        <f t="shared" si="1"/>
        <v>500</v>
      </c>
      <c r="F58" s="1">
        <f t="shared" si="4"/>
        <v>269192.14701831859</v>
      </c>
      <c r="G58" s="1">
        <f t="shared" si="2"/>
        <v>1058.2434499038698</v>
      </c>
      <c r="H58" s="4">
        <f t="shared" si="5"/>
        <v>0</v>
      </c>
    </row>
    <row r="59" spans="1:8" x14ac:dyDescent="0.25">
      <c r="A59">
        <v>52</v>
      </c>
      <c r="B59" s="1">
        <f t="shared" si="6"/>
        <v>269192.14701831859</v>
      </c>
      <c r="C59" s="8">
        <f t="shared" si="0"/>
        <v>1054.3359091550813</v>
      </c>
      <c r="D59" s="8">
        <f t="shared" si="3"/>
        <v>501.57751916286088</v>
      </c>
      <c r="E59" s="2">
        <f t="shared" si="1"/>
        <v>0</v>
      </c>
      <c r="F59" s="1">
        <f t="shared" si="4"/>
        <v>268690.56949915574</v>
      </c>
      <c r="G59" s="1">
        <f t="shared" si="2"/>
        <v>1054.3359091550813</v>
      </c>
      <c r="H59" s="4">
        <f t="shared" si="5"/>
        <v>0</v>
      </c>
    </row>
    <row r="60" spans="1:8" x14ac:dyDescent="0.25">
      <c r="A60">
        <v>53</v>
      </c>
      <c r="B60" s="1">
        <f t="shared" si="6"/>
        <v>268690.56949915574</v>
      </c>
      <c r="C60" s="8">
        <f t="shared" si="0"/>
        <v>1052.3713972050266</v>
      </c>
      <c r="D60" s="8">
        <f t="shared" si="3"/>
        <v>503.54203111291554</v>
      </c>
      <c r="E60" s="2">
        <f t="shared" si="1"/>
        <v>0</v>
      </c>
      <c r="F60" s="1">
        <f t="shared" si="4"/>
        <v>268187.0274680428</v>
      </c>
      <c r="G60" s="1">
        <f t="shared" si="2"/>
        <v>1052.3713972050266</v>
      </c>
      <c r="H60" s="4">
        <f t="shared" si="5"/>
        <v>0</v>
      </c>
    </row>
    <row r="61" spans="1:8" x14ac:dyDescent="0.25">
      <c r="A61">
        <v>54</v>
      </c>
      <c r="B61" s="1">
        <f t="shared" si="6"/>
        <v>268187.0274680428</v>
      </c>
      <c r="C61" s="8">
        <f t="shared" si="0"/>
        <v>1050.3991909165009</v>
      </c>
      <c r="D61" s="8">
        <f t="shared" si="3"/>
        <v>505.51423740144128</v>
      </c>
      <c r="E61" s="2">
        <f t="shared" si="1"/>
        <v>500</v>
      </c>
      <c r="F61" s="1">
        <f t="shared" si="4"/>
        <v>267181.51323064137</v>
      </c>
      <c r="G61" s="1">
        <f t="shared" si="2"/>
        <v>1050.3991909165009</v>
      </c>
      <c r="H61" s="4">
        <f t="shared" si="5"/>
        <v>0</v>
      </c>
    </row>
    <row r="62" spans="1:8" x14ac:dyDescent="0.25">
      <c r="A62">
        <v>55</v>
      </c>
      <c r="B62" s="1">
        <f t="shared" si="6"/>
        <v>267181.51323064137</v>
      </c>
      <c r="C62" s="8">
        <f t="shared" si="0"/>
        <v>1046.460926820012</v>
      </c>
      <c r="D62" s="8">
        <f t="shared" si="3"/>
        <v>509.45250149793014</v>
      </c>
      <c r="E62" s="2">
        <f t="shared" si="1"/>
        <v>0</v>
      </c>
      <c r="F62" s="1">
        <f t="shared" si="4"/>
        <v>266672.06072914344</v>
      </c>
      <c r="G62" s="1">
        <f t="shared" si="2"/>
        <v>1046.460926820012</v>
      </c>
      <c r="H62" s="4">
        <f t="shared" si="5"/>
        <v>0</v>
      </c>
    </row>
    <row r="63" spans="1:8" x14ac:dyDescent="0.25">
      <c r="A63">
        <v>56</v>
      </c>
      <c r="B63" s="1">
        <f t="shared" si="6"/>
        <v>266672.06072914344</v>
      </c>
      <c r="C63" s="8">
        <f t="shared" si="0"/>
        <v>1044.4655711891453</v>
      </c>
      <c r="D63" s="8">
        <f t="shared" si="3"/>
        <v>511.44785712879684</v>
      </c>
      <c r="E63" s="2">
        <f t="shared" si="1"/>
        <v>0</v>
      </c>
      <c r="F63" s="1">
        <f t="shared" si="4"/>
        <v>266160.61287201464</v>
      </c>
      <c r="G63" s="1">
        <f t="shared" si="2"/>
        <v>1044.4655711891453</v>
      </c>
      <c r="H63" s="4">
        <f t="shared" si="5"/>
        <v>0</v>
      </c>
    </row>
    <row r="64" spans="1:8" x14ac:dyDescent="0.25">
      <c r="A64">
        <v>57</v>
      </c>
      <c r="B64" s="1">
        <f t="shared" si="6"/>
        <v>266160.61287201464</v>
      </c>
      <c r="C64" s="8">
        <f t="shared" si="0"/>
        <v>1042.4624004153907</v>
      </c>
      <c r="D64" s="8">
        <f t="shared" si="3"/>
        <v>513.45102790255146</v>
      </c>
      <c r="E64" s="2">
        <f t="shared" si="1"/>
        <v>500</v>
      </c>
      <c r="F64" s="1">
        <f t="shared" si="4"/>
        <v>265147.1618441121</v>
      </c>
      <c r="G64" s="1">
        <f t="shared" si="2"/>
        <v>1042.4624004153907</v>
      </c>
      <c r="H64" s="4">
        <f t="shared" si="5"/>
        <v>0</v>
      </c>
    </row>
    <row r="65" spans="1:8" x14ac:dyDescent="0.25">
      <c r="A65">
        <v>58</v>
      </c>
      <c r="B65" s="1">
        <f t="shared" si="6"/>
        <v>265147.1618441121</v>
      </c>
      <c r="C65" s="8">
        <f t="shared" si="0"/>
        <v>1038.4930505561058</v>
      </c>
      <c r="D65" s="8">
        <f t="shared" si="3"/>
        <v>517.42037776183633</v>
      </c>
      <c r="E65" s="2">
        <f t="shared" si="1"/>
        <v>0</v>
      </c>
      <c r="F65" s="1">
        <f t="shared" si="4"/>
        <v>264629.74146635027</v>
      </c>
      <c r="G65" s="1">
        <f t="shared" si="2"/>
        <v>1038.4930505561058</v>
      </c>
      <c r="H65" s="4">
        <f t="shared" si="5"/>
        <v>0</v>
      </c>
    </row>
    <row r="66" spans="1:8" x14ac:dyDescent="0.25">
      <c r="A66">
        <v>59</v>
      </c>
      <c r="B66" s="1">
        <f t="shared" si="6"/>
        <v>264629.74146635027</v>
      </c>
      <c r="C66" s="8">
        <f t="shared" si="0"/>
        <v>1036.4664874098719</v>
      </c>
      <c r="D66" s="8">
        <f t="shared" si="3"/>
        <v>519.44694090807025</v>
      </c>
      <c r="E66" s="2">
        <f t="shared" si="1"/>
        <v>0</v>
      </c>
      <c r="F66" s="1">
        <f t="shared" si="4"/>
        <v>264110.29452544218</v>
      </c>
      <c r="G66" s="1">
        <f t="shared" si="2"/>
        <v>1036.4664874098719</v>
      </c>
      <c r="H66" s="4">
        <f t="shared" si="5"/>
        <v>0</v>
      </c>
    </row>
    <row r="67" spans="1:8" x14ac:dyDescent="0.25">
      <c r="A67">
        <v>60</v>
      </c>
      <c r="B67" s="1">
        <f t="shared" si="6"/>
        <v>264110.29452544218</v>
      </c>
      <c r="C67" s="8">
        <f t="shared" si="0"/>
        <v>1034.4319868913151</v>
      </c>
      <c r="D67" s="8">
        <f t="shared" si="3"/>
        <v>521.48144142662704</v>
      </c>
      <c r="E67" s="2">
        <f t="shared" si="1"/>
        <v>500</v>
      </c>
      <c r="F67" s="1">
        <f t="shared" si="4"/>
        <v>263088.81308401556</v>
      </c>
      <c r="G67" s="1">
        <f t="shared" si="2"/>
        <v>1034.4319868913151</v>
      </c>
      <c r="H67" s="4">
        <f t="shared" si="5"/>
        <v>0</v>
      </c>
    </row>
    <row r="68" spans="1:8" x14ac:dyDescent="0.25">
      <c r="A68">
        <v>61</v>
      </c>
      <c r="B68" s="1">
        <f t="shared" si="6"/>
        <v>263088.81308401556</v>
      </c>
      <c r="C68" s="8">
        <f t="shared" si="0"/>
        <v>1030.431184579061</v>
      </c>
      <c r="D68" s="8">
        <f t="shared" si="3"/>
        <v>525.48224373888115</v>
      </c>
      <c r="E68" s="2">
        <f t="shared" si="1"/>
        <v>0</v>
      </c>
      <c r="F68" s="1">
        <f t="shared" si="4"/>
        <v>262563.33084027667</v>
      </c>
      <c r="G68" s="1">
        <f t="shared" si="2"/>
        <v>1030.431184579061</v>
      </c>
      <c r="H68" s="4">
        <f t="shared" si="5"/>
        <v>0</v>
      </c>
    </row>
    <row r="69" spans="1:8" x14ac:dyDescent="0.25">
      <c r="A69">
        <v>62</v>
      </c>
      <c r="B69" s="1">
        <f t="shared" si="6"/>
        <v>262563.33084027667</v>
      </c>
      <c r="C69" s="8">
        <f t="shared" si="0"/>
        <v>1028.3730457910835</v>
      </c>
      <c r="D69" s="8">
        <f t="shared" si="3"/>
        <v>527.54038252685859</v>
      </c>
      <c r="E69" s="2">
        <f t="shared" si="1"/>
        <v>0</v>
      </c>
      <c r="F69" s="1">
        <f t="shared" si="4"/>
        <v>262035.7904577498</v>
      </c>
      <c r="G69" s="1">
        <f t="shared" si="2"/>
        <v>1028.3730457910835</v>
      </c>
      <c r="H69" s="4">
        <f t="shared" si="5"/>
        <v>0</v>
      </c>
    </row>
    <row r="70" spans="1:8" x14ac:dyDescent="0.25">
      <c r="A70">
        <v>63</v>
      </c>
      <c r="B70" s="1">
        <f t="shared" si="6"/>
        <v>262035.7904577498</v>
      </c>
      <c r="C70" s="8">
        <f t="shared" si="0"/>
        <v>1026.3068459595199</v>
      </c>
      <c r="D70" s="8">
        <f t="shared" si="3"/>
        <v>529.6065823584222</v>
      </c>
      <c r="E70" s="2">
        <f t="shared" si="1"/>
        <v>500</v>
      </c>
      <c r="F70" s="1">
        <f t="shared" si="4"/>
        <v>261006.18387539138</v>
      </c>
      <c r="G70" s="1">
        <f t="shared" si="2"/>
        <v>1026.3068459595199</v>
      </c>
      <c r="H70" s="4">
        <f t="shared" si="5"/>
        <v>0</v>
      </c>
    </row>
    <row r="71" spans="1:8" x14ac:dyDescent="0.25">
      <c r="A71">
        <v>64</v>
      </c>
      <c r="B71" s="1">
        <f t="shared" si="6"/>
        <v>261006.18387539138</v>
      </c>
      <c r="C71" s="8">
        <f t="shared" si="0"/>
        <v>1022.2742201786162</v>
      </c>
      <c r="D71" s="8">
        <f t="shared" si="3"/>
        <v>533.63920813932589</v>
      </c>
      <c r="E71" s="2">
        <f t="shared" si="1"/>
        <v>0</v>
      </c>
      <c r="F71" s="1">
        <f t="shared" si="4"/>
        <v>260472.54466725205</v>
      </c>
      <c r="G71" s="1">
        <f t="shared" si="2"/>
        <v>1022.2742201786162</v>
      </c>
      <c r="H71" s="4">
        <f t="shared" si="5"/>
        <v>0</v>
      </c>
    </row>
    <row r="72" spans="1:8" x14ac:dyDescent="0.25">
      <c r="A72">
        <v>65</v>
      </c>
      <c r="B72" s="1">
        <f t="shared" si="6"/>
        <v>260472.54466725205</v>
      </c>
      <c r="C72" s="8">
        <f t="shared" ref="C72:C135" si="7">B72*int/12</f>
        <v>1020.1841332800705</v>
      </c>
      <c r="D72" s="8">
        <f t="shared" ref="D72:D135" si="8">pmt-C72</f>
        <v>535.72929503787168</v>
      </c>
      <c r="E72" s="2">
        <f t="shared" ref="E72:E135" si="9">IFERROR(IF(MOD(A72,interval)=0,extrapmt,0),0)</f>
        <v>0</v>
      </c>
      <c r="F72" s="1">
        <f t="shared" si="4"/>
        <v>259936.81537221419</v>
      </c>
      <c r="G72" s="1">
        <f t="shared" ref="G72:G135" si="10">B72*int/12</f>
        <v>1020.1841332800705</v>
      </c>
      <c r="H72" s="4">
        <f t="shared" si="5"/>
        <v>0</v>
      </c>
    </row>
    <row r="73" spans="1:8" x14ac:dyDescent="0.25">
      <c r="A73">
        <v>66</v>
      </c>
      <c r="B73" s="1">
        <f t="shared" si="6"/>
        <v>259936.81537221419</v>
      </c>
      <c r="C73" s="8">
        <f t="shared" si="7"/>
        <v>1018.0858602078389</v>
      </c>
      <c r="D73" s="8">
        <f t="shared" si="8"/>
        <v>537.82756811010324</v>
      </c>
      <c r="E73" s="2">
        <f t="shared" si="9"/>
        <v>500</v>
      </c>
      <c r="F73" s="1">
        <f t="shared" ref="F73:F136" si="11">IF(B73-D73-E73&lt;0,0,B73-D73-E73)</f>
        <v>258898.98780410408</v>
      </c>
      <c r="G73" s="1">
        <f t="shared" si="10"/>
        <v>1018.0858602078389</v>
      </c>
      <c r="H73" s="4">
        <f t="shared" ref="H73:H136" si="12">(F73&gt;0)*(F74=0)</f>
        <v>0</v>
      </c>
    </row>
    <row r="74" spans="1:8" x14ac:dyDescent="0.25">
      <c r="A74">
        <v>67</v>
      </c>
      <c r="B74" s="1">
        <f t="shared" si="6"/>
        <v>258898.98780410408</v>
      </c>
      <c r="C74" s="8">
        <f t="shared" si="7"/>
        <v>1014.0210355660743</v>
      </c>
      <c r="D74" s="8">
        <f t="shared" si="8"/>
        <v>541.89239275186787</v>
      </c>
      <c r="E74" s="2">
        <f t="shared" si="9"/>
        <v>0</v>
      </c>
      <c r="F74" s="1">
        <f t="shared" si="11"/>
        <v>258357.0954113522</v>
      </c>
      <c r="G74" s="1">
        <f t="shared" si="10"/>
        <v>1014.0210355660743</v>
      </c>
      <c r="H74" s="4">
        <f t="shared" si="12"/>
        <v>0</v>
      </c>
    </row>
    <row r="75" spans="1:8" x14ac:dyDescent="0.25">
      <c r="A75">
        <v>68</v>
      </c>
      <c r="B75" s="1">
        <f t="shared" ref="B75:B138" si="13">F74</f>
        <v>258357.0954113522</v>
      </c>
      <c r="C75" s="8">
        <f t="shared" si="7"/>
        <v>1011.8986236944628</v>
      </c>
      <c r="D75" s="8">
        <f t="shared" si="8"/>
        <v>544.01480462347934</v>
      </c>
      <c r="E75" s="2">
        <f t="shared" si="9"/>
        <v>0</v>
      </c>
      <c r="F75" s="1">
        <f t="shared" si="11"/>
        <v>257813.08060672873</v>
      </c>
      <c r="G75" s="1">
        <f t="shared" si="10"/>
        <v>1011.8986236944628</v>
      </c>
      <c r="H75" s="4">
        <f t="shared" si="12"/>
        <v>0</v>
      </c>
    </row>
    <row r="76" spans="1:8" x14ac:dyDescent="0.25">
      <c r="A76">
        <v>69</v>
      </c>
      <c r="B76" s="1">
        <f t="shared" si="13"/>
        <v>257813.08060672873</v>
      </c>
      <c r="C76" s="8">
        <f t="shared" si="7"/>
        <v>1009.7678990430209</v>
      </c>
      <c r="D76" s="8">
        <f t="shared" si="8"/>
        <v>546.14552927492127</v>
      </c>
      <c r="E76" s="2">
        <f t="shared" si="9"/>
        <v>500</v>
      </c>
      <c r="F76" s="1">
        <f t="shared" si="11"/>
        <v>256766.93507745382</v>
      </c>
      <c r="G76" s="1">
        <f t="shared" si="10"/>
        <v>1009.7678990430209</v>
      </c>
      <c r="H76" s="4">
        <f t="shared" si="12"/>
        <v>0</v>
      </c>
    </row>
    <row r="77" spans="1:8" x14ac:dyDescent="0.25">
      <c r="A77">
        <v>70</v>
      </c>
      <c r="B77" s="1">
        <f t="shared" si="13"/>
        <v>256766.93507745382</v>
      </c>
      <c r="C77" s="8">
        <f t="shared" si="7"/>
        <v>1005.6704957200274</v>
      </c>
      <c r="D77" s="8">
        <f t="shared" si="8"/>
        <v>550.24293259791477</v>
      </c>
      <c r="E77" s="2">
        <f t="shared" si="9"/>
        <v>0</v>
      </c>
      <c r="F77" s="1">
        <f t="shared" si="11"/>
        <v>256216.69214485592</v>
      </c>
      <c r="G77" s="1">
        <f t="shared" si="10"/>
        <v>1005.6704957200274</v>
      </c>
      <c r="H77" s="4">
        <f t="shared" si="12"/>
        <v>0</v>
      </c>
    </row>
    <row r="78" spans="1:8" x14ac:dyDescent="0.25">
      <c r="A78">
        <v>71</v>
      </c>
      <c r="B78" s="1">
        <f t="shared" si="13"/>
        <v>256216.69214485592</v>
      </c>
      <c r="C78" s="8">
        <f t="shared" si="7"/>
        <v>1003.5153775673524</v>
      </c>
      <c r="D78" s="8">
        <f t="shared" si="8"/>
        <v>552.39805075058973</v>
      </c>
      <c r="E78" s="2">
        <f t="shared" si="9"/>
        <v>0</v>
      </c>
      <c r="F78" s="1">
        <f t="shared" si="11"/>
        <v>255664.29409410534</v>
      </c>
      <c r="G78" s="1">
        <f t="shared" si="10"/>
        <v>1003.5153775673524</v>
      </c>
      <c r="H78" s="4">
        <f t="shared" si="12"/>
        <v>0</v>
      </c>
    </row>
    <row r="79" spans="1:8" x14ac:dyDescent="0.25">
      <c r="A79">
        <v>72</v>
      </c>
      <c r="B79" s="1">
        <f t="shared" si="13"/>
        <v>255664.29409410534</v>
      </c>
      <c r="C79" s="8">
        <f t="shared" si="7"/>
        <v>1001.3518185352459</v>
      </c>
      <c r="D79" s="8">
        <f t="shared" si="8"/>
        <v>554.56160978269622</v>
      </c>
      <c r="E79" s="2">
        <f t="shared" si="9"/>
        <v>500</v>
      </c>
      <c r="F79" s="1">
        <f t="shared" si="11"/>
        <v>254609.73248432265</v>
      </c>
      <c r="G79" s="1">
        <f t="shared" si="10"/>
        <v>1001.3518185352459</v>
      </c>
      <c r="H79" s="4">
        <f t="shared" si="12"/>
        <v>0</v>
      </c>
    </row>
    <row r="80" spans="1:8" x14ac:dyDescent="0.25">
      <c r="A80">
        <v>73</v>
      </c>
      <c r="B80" s="1">
        <f t="shared" si="13"/>
        <v>254609.73248432265</v>
      </c>
      <c r="C80" s="8">
        <f t="shared" si="7"/>
        <v>997.22145223026371</v>
      </c>
      <c r="D80" s="8">
        <f t="shared" si="8"/>
        <v>558.69197608767843</v>
      </c>
      <c r="E80" s="2">
        <f t="shared" si="9"/>
        <v>0</v>
      </c>
      <c r="F80" s="1">
        <f t="shared" si="11"/>
        <v>254051.04050823496</v>
      </c>
      <c r="G80" s="1">
        <f t="shared" si="10"/>
        <v>997.22145223026371</v>
      </c>
      <c r="H80" s="4">
        <f t="shared" si="12"/>
        <v>0</v>
      </c>
    </row>
    <row r="81" spans="1:8" x14ac:dyDescent="0.25">
      <c r="A81">
        <v>74</v>
      </c>
      <c r="B81" s="1">
        <f t="shared" si="13"/>
        <v>254051.04050823496</v>
      </c>
      <c r="C81" s="8">
        <f t="shared" si="7"/>
        <v>995.03324199058704</v>
      </c>
      <c r="D81" s="8">
        <f t="shared" si="8"/>
        <v>560.88018632735509</v>
      </c>
      <c r="E81" s="2">
        <f t="shared" si="9"/>
        <v>0</v>
      </c>
      <c r="F81" s="1">
        <f t="shared" si="11"/>
        <v>253490.16032190761</v>
      </c>
      <c r="G81" s="1">
        <f t="shared" si="10"/>
        <v>995.03324199058704</v>
      </c>
      <c r="H81" s="4">
        <f t="shared" si="12"/>
        <v>0</v>
      </c>
    </row>
    <row r="82" spans="1:8" x14ac:dyDescent="0.25">
      <c r="A82">
        <v>75</v>
      </c>
      <c r="B82" s="1">
        <f t="shared" si="13"/>
        <v>253490.16032190761</v>
      </c>
      <c r="C82" s="8">
        <f t="shared" si="7"/>
        <v>992.83646126080475</v>
      </c>
      <c r="D82" s="8">
        <f t="shared" si="8"/>
        <v>563.07696705713738</v>
      </c>
      <c r="E82" s="2">
        <f t="shared" si="9"/>
        <v>500</v>
      </c>
      <c r="F82" s="1">
        <f t="shared" si="11"/>
        <v>252427.08335485047</v>
      </c>
      <c r="G82" s="1">
        <f t="shared" si="10"/>
        <v>992.83646126080475</v>
      </c>
      <c r="H82" s="4">
        <f t="shared" si="12"/>
        <v>0</v>
      </c>
    </row>
    <row r="83" spans="1:8" x14ac:dyDescent="0.25">
      <c r="A83">
        <v>76</v>
      </c>
      <c r="B83" s="1">
        <f t="shared" si="13"/>
        <v>252427.08335485047</v>
      </c>
      <c r="C83" s="8">
        <f t="shared" si="7"/>
        <v>988.67274313983091</v>
      </c>
      <c r="D83" s="8">
        <f t="shared" si="8"/>
        <v>567.24068517811122</v>
      </c>
      <c r="E83" s="2">
        <f t="shared" si="9"/>
        <v>0</v>
      </c>
      <c r="F83" s="1">
        <f t="shared" si="11"/>
        <v>251859.84266967236</v>
      </c>
      <c r="G83" s="1">
        <f t="shared" si="10"/>
        <v>988.67274313983091</v>
      </c>
      <c r="H83" s="4">
        <f t="shared" si="12"/>
        <v>0</v>
      </c>
    </row>
    <row r="84" spans="1:8" x14ac:dyDescent="0.25">
      <c r="A84">
        <v>77</v>
      </c>
      <c r="B84" s="1">
        <f t="shared" si="13"/>
        <v>251859.84266967236</v>
      </c>
      <c r="C84" s="8">
        <f t="shared" si="7"/>
        <v>986.45105045621676</v>
      </c>
      <c r="D84" s="8">
        <f t="shared" si="8"/>
        <v>569.46237786172537</v>
      </c>
      <c r="E84" s="2">
        <f t="shared" si="9"/>
        <v>0</v>
      </c>
      <c r="F84" s="1">
        <f t="shared" si="11"/>
        <v>251290.38029181064</v>
      </c>
      <c r="G84" s="1">
        <f t="shared" si="10"/>
        <v>986.45105045621676</v>
      </c>
      <c r="H84" s="4">
        <f t="shared" si="12"/>
        <v>0</v>
      </c>
    </row>
    <row r="85" spans="1:8" x14ac:dyDescent="0.25">
      <c r="A85">
        <v>78</v>
      </c>
      <c r="B85" s="1">
        <f t="shared" si="13"/>
        <v>251290.38029181064</v>
      </c>
      <c r="C85" s="8">
        <f t="shared" si="7"/>
        <v>984.22065614292489</v>
      </c>
      <c r="D85" s="8">
        <f t="shared" si="8"/>
        <v>571.69277217501724</v>
      </c>
      <c r="E85" s="2">
        <f t="shared" si="9"/>
        <v>500</v>
      </c>
      <c r="F85" s="1">
        <f t="shared" si="11"/>
        <v>250218.68751963563</v>
      </c>
      <c r="G85" s="1">
        <f t="shared" si="10"/>
        <v>984.22065614292489</v>
      </c>
      <c r="H85" s="4">
        <f t="shared" si="12"/>
        <v>0</v>
      </c>
    </row>
    <row r="86" spans="1:8" x14ac:dyDescent="0.25">
      <c r="A86">
        <v>79</v>
      </c>
      <c r="B86" s="1">
        <f t="shared" si="13"/>
        <v>250218.68751963563</v>
      </c>
      <c r="C86" s="8">
        <f t="shared" si="7"/>
        <v>980.02319278523953</v>
      </c>
      <c r="D86" s="8">
        <f t="shared" si="8"/>
        <v>575.8902355327026</v>
      </c>
      <c r="E86" s="2">
        <f t="shared" si="9"/>
        <v>0</v>
      </c>
      <c r="F86" s="1">
        <f t="shared" si="11"/>
        <v>249642.79728410291</v>
      </c>
      <c r="G86" s="1">
        <f t="shared" si="10"/>
        <v>980.02319278523953</v>
      </c>
      <c r="H86" s="4">
        <f t="shared" si="12"/>
        <v>0</v>
      </c>
    </row>
    <row r="87" spans="1:8" x14ac:dyDescent="0.25">
      <c r="A87">
        <v>80</v>
      </c>
      <c r="B87" s="1">
        <f t="shared" si="13"/>
        <v>249642.79728410291</v>
      </c>
      <c r="C87" s="8">
        <f t="shared" si="7"/>
        <v>977.76762269606979</v>
      </c>
      <c r="D87" s="8">
        <f t="shared" si="8"/>
        <v>578.14580562187234</v>
      </c>
      <c r="E87" s="2">
        <f t="shared" si="9"/>
        <v>0</v>
      </c>
      <c r="F87" s="1">
        <f t="shared" si="11"/>
        <v>249064.65147848104</v>
      </c>
      <c r="G87" s="1">
        <f t="shared" si="10"/>
        <v>977.76762269606979</v>
      </c>
      <c r="H87" s="4">
        <f t="shared" si="12"/>
        <v>0</v>
      </c>
    </row>
    <row r="88" spans="1:8" x14ac:dyDescent="0.25">
      <c r="A88">
        <v>81</v>
      </c>
      <c r="B88" s="1">
        <f t="shared" si="13"/>
        <v>249064.65147848104</v>
      </c>
      <c r="C88" s="8">
        <f t="shared" si="7"/>
        <v>975.50321829071743</v>
      </c>
      <c r="D88" s="8">
        <f t="shared" si="8"/>
        <v>580.41021002722471</v>
      </c>
      <c r="E88" s="2">
        <f t="shared" si="9"/>
        <v>500</v>
      </c>
      <c r="F88" s="1">
        <f t="shared" si="11"/>
        <v>247984.24126845383</v>
      </c>
      <c r="G88" s="1">
        <f t="shared" si="10"/>
        <v>975.50321829071743</v>
      </c>
      <c r="H88" s="4">
        <f t="shared" si="12"/>
        <v>0</v>
      </c>
    </row>
    <row r="89" spans="1:8" x14ac:dyDescent="0.25">
      <c r="A89">
        <v>82</v>
      </c>
      <c r="B89" s="1">
        <f t="shared" si="13"/>
        <v>247984.24126845383</v>
      </c>
      <c r="C89" s="8">
        <f t="shared" si="7"/>
        <v>971.27161163477751</v>
      </c>
      <c r="D89" s="8">
        <f t="shared" si="8"/>
        <v>584.64181668316462</v>
      </c>
      <c r="E89" s="2">
        <f t="shared" si="9"/>
        <v>0</v>
      </c>
      <c r="F89" s="1">
        <f t="shared" si="11"/>
        <v>247399.59945177066</v>
      </c>
      <c r="G89" s="1">
        <f t="shared" si="10"/>
        <v>971.27161163477751</v>
      </c>
      <c r="H89" s="4">
        <f t="shared" si="12"/>
        <v>0</v>
      </c>
    </row>
    <row r="90" spans="1:8" x14ac:dyDescent="0.25">
      <c r="A90">
        <v>83</v>
      </c>
      <c r="B90" s="1">
        <f t="shared" si="13"/>
        <v>247399.59945177066</v>
      </c>
      <c r="C90" s="8">
        <f t="shared" si="7"/>
        <v>968.98176451943516</v>
      </c>
      <c r="D90" s="8">
        <f t="shared" si="8"/>
        <v>586.93166379850697</v>
      </c>
      <c r="E90" s="2">
        <f t="shared" si="9"/>
        <v>0</v>
      </c>
      <c r="F90" s="1">
        <f t="shared" si="11"/>
        <v>246812.66778797214</v>
      </c>
      <c r="G90" s="1">
        <f t="shared" si="10"/>
        <v>968.98176451943516</v>
      </c>
      <c r="H90" s="4">
        <f t="shared" si="12"/>
        <v>0</v>
      </c>
    </row>
    <row r="91" spans="1:8" x14ac:dyDescent="0.25">
      <c r="A91">
        <v>84</v>
      </c>
      <c r="B91" s="1">
        <f t="shared" si="13"/>
        <v>246812.66778797214</v>
      </c>
      <c r="C91" s="8">
        <f t="shared" si="7"/>
        <v>966.68294883622423</v>
      </c>
      <c r="D91" s="8">
        <f t="shared" si="8"/>
        <v>589.23047948171791</v>
      </c>
      <c r="E91" s="2">
        <f t="shared" si="9"/>
        <v>500</v>
      </c>
      <c r="F91" s="1">
        <f t="shared" si="11"/>
        <v>245723.43730849042</v>
      </c>
      <c r="G91" s="1">
        <f t="shared" si="10"/>
        <v>966.68294883622423</v>
      </c>
      <c r="H91" s="4">
        <f t="shared" si="12"/>
        <v>0</v>
      </c>
    </row>
    <row r="92" spans="1:8" x14ac:dyDescent="0.25">
      <c r="A92">
        <v>85</v>
      </c>
      <c r="B92" s="1">
        <f t="shared" si="13"/>
        <v>245723.43730849042</v>
      </c>
      <c r="C92" s="8">
        <f t="shared" si="7"/>
        <v>962.41679612492089</v>
      </c>
      <c r="D92" s="8">
        <f t="shared" si="8"/>
        <v>593.49663219302124</v>
      </c>
      <c r="E92" s="2">
        <f t="shared" si="9"/>
        <v>0</v>
      </c>
      <c r="F92" s="1">
        <f t="shared" si="11"/>
        <v>245129.94067629741</v>
      </c>
      <c r="G92" s="1">
        <f t="shared" si="10"/>
        <v>962.41679612492089</v>
      </c>
      <c r="H92" s="4">
        <f t="shared" si="12"/>
        <v>0</v>
      </c>
    </row>
    <row r="93" spans="1:8" x14ac:dyDescent="0.25">
      <c r="A93">
        <v>86</v>
      </c>
      <c r="B93" s="1">
        <f t="shared" si="13"/>
        <v>245129.94067629741</v>
      </c>
      <c r="C93" s="8">
        <f t="shared" si="7"/>
        <v>960.09226764883158</v>
      </c>
      <c r="D93" s="8">
        <f t="shared" si="8"/>
        <v>595.82116066911055</v>
      </c>
      <c r="E93" s="2">
        <f t="shared" si="9"/>
        <v>0</v>
      </c>
      <c r="F93" s="1">
        <f t="shared" si="11"/>
        <v>244534.11951562829</v>
      </c>
      <c r="G93" s="1">
        <f t="shared" si="10"/>
        <v>960.09226764883158</v>
      </c>
      <c r="H93" s="4">
        <f t="shared" si="12"/>
        <v>0</v>
      </c>
    </row>
    <row r="94" spans="1:8" x14ac:dyDescent="0.25">
      <c r="A94">
        <v>87</v>
      </c>
      <c r="B94" s="1">
        <f t="shared" si="13"/>
        <v>244534.11951562829</v>
      </c>
      <c r="C94" s="8">
        <f t="shared" si="7"/>
        <v>957.75863476954419</v>
      </c>
      <c r="D94" s="8">
        <f t="shared" si="8"/>
        <v>598.15479354839795</v>
      </c>
      <c r="E94" s="2">
        <f t="shared" si="9"/>
        <v>500</v>
      </c>
      <c r="F94" s="1">
        <f t="shared" si="11"/>
        <v>243435.96472207989</v>
      </c>
      <c r="G94" s="1">
        <f t="shared" si="10"/>
        <v>957.75863476954419</v>
      </c>
      <c r="H94" s="4">
        <f t="shared" si="12"/>
        <v>0</v>
      </c>
    </row>
    <row r="95" spans="1:8" x14ac:dyDescent="0.25">
      <c r="A95">
        <v>88</v>
      </c>
      <c r="B95" s="1">
        <f t="shared" si="13"/>
        <v>243435.96472207989</v>
      </c>
      <c r="C95" s="8">
        <f t="shared" si="7"/>
        <v>953.45752849481289</v>
      </c>
      <c r="D95" s="8">
        <f t="shared" si="8"/>
        <v>602.45589982312924</v>
      </c>
      <c r="E95" s="2">
        <f t="shared" si="9"/>
        <v>0</v>
      </c>
      <c r="F95" s="1">
        <f t="shared" si="11"/>
        <v>242833.50882225676</v>
      </c>
      <c r="G95" s="1">
        <f t="shared" si="10"/>
        <v>953.45752849481289</v>
      </c>
      <c r="H95" s="4">
        <f t="shared" si="12"/>
        <v>0</v>
      </c>
    </row>
    <row r="96" spans="1:8" x14ac:dyDescent="0.25">
      <c r="A96">
        <v>89</v>
      </c>
      <c r="B96" s="1">
        <f t="shared" si="13"/>
        <v>242833.50882225676</v>
      </c>
      <c r="C96" s="8">
        <f t="shared" si="7"/>
        <v>951.09790955383903</v>
      </c>
      <c r="D96" s="8">
        <f t="shared" si="8"/>
        <v>604.8155187641031</v>
      </c>
      <c r="E96" s="2">
        <f t="shared" si="9"/>
        <v>0</v>
      </c>
      <c r="F96" s="1">
        <f t="shared" si="11"/>
        <v>242228.69330349265</v>
      </c>
      <c r="G96" s="1">
        <f t="shared" si="10"/>
        <v>951.09790955383903</v>
      </c>
      <c r="H96" s="4">
        <f t="shared" si="12"/>
        <v>0</v>
      </c>
    </row>
    <row r="97" spans="1:8" x14ac:dyDescent="0.25">
      <c r="A97">
        <v>90</v>
      </c>
      <c r="B97" s="1">
        <f t="shared" si="13"/>
        <v>242228.69330349265</v>
      </c>
      <c r="C97" s="8">
        <f t="shared" si="7"/>
        <v>948.7290487720129</v>
      </c>
      <c r="D97" s="8">
        <f t="shared" si="8"/>
        <v>607.18437954592923</v>
      </c>
      <c r="E97" s="2">
        <f t="shared" si="9"/>
        <v>500</v>
      </c>
      <c r="F97" s="1">
        <f t="shared" si="11"/>
        <v>241121.50892394671</v>
      </c>
      <c r="G97" s="1">
        <f t="shared" si="10"/>
        <v>948.7290487720129</v>
      </c>
      <c r="H97" s="4">
        <f t="shared" si="12"/>
        <v>0</v>
      </c>
    </row>
    <row r="98" spans="1:8" x14ac:dyDescent="0.25">
      <c r="A98">
        <v>91</v>
      </c>
      <c r="B98" s="1">
        <f t="shared" si="13"/>
        <v>241121.50892394671</v>
      </c>
      <c r="C98" s="8">
        <f t="shared" si="7"/>
        <v>944.39257661879128</v>
      </c>
      <c r="D98" s="8">
        <f t="shared" si="8"/>
        <v>611.52085169915085</v>
      </c>
      <c r="E98" s="2">
        <f t="shared" si="9"/>
        <v>0</v>
      </c>
      <c r="F98" s="1">
        <f t="shared" si="11"/>
        <v>240509.98807224756</v>
      </c>
      <c r="G98" s="1">
        <f t="shared" si="10"/>
        <v>944.39257661879128</v>
      </c>
      <c r="H98" s="4">
        <f t="shared" si="12"/>
        <v>0</v>
      </c>
    </row>
    <row r="99" spans="1:8" x14ac:dyDescent="0.25">
      <c r="A99">
        <v>92</v>
      </c>
      <c r="B99" s="1">
        <f t="shared" si="13"/>
        <v>240509.98807224756</v>
      </c>
      <c r="C99" s="8">
        <f t="shared" si="7"/>
        <v>941.99745328296967</v>
      </c>
      <c r="D99" s="8">
        <f t="shared" si="8"/>
        <v>613.91597503497246</v>
      </c>
      <c r="E99" s="2">
        <f t="shared" si="9"/>
        <v>0</v>
      </c>
      <c r="F99" s="1">
        <f t="shared" si="11"/>
        <v>239896.0720972126</v>
      </c>
      <c r="G99" s="1">
        <f t="shared" si="10"/>
        <v>941.99745328296967</v>
      </c>
      <c r="H99" s="4">
        <f t="shared" si="12"/>
        <v>0</v>
      </c>
    </row>
    <row r="100" spans="1:8" x14ac:dyDescent="0.25">
      <c r="A100">
        <v>93</v>
      </c>
      <c r="B100" s="1">
        <f t="shared" si="13"/>
        <v>239896.0720972126</v>
      </c>
      <c r="C100" s="8">
        <f t="shared" si="7"/>
        <v>939.59294904741603</v>
      </c>
      <c r="D100" s="8">
        <f t="shared" si="8"/>
        <v>616.32047927052611</v>
      </c>
      <c r="E100" s="2">
        <f t="shared" si="9"/>
        <v>500</v>
      </c>
      <c r="F100" s="1">
        <f t="shared" si="11"/>
        <v>238779.75161794206</v>
      </c>
      <c r="G100" s="1">
        <f t="shared" si="10"/>
        <v>939.59294904741603</v>
      </c>
      <c r="H100" s="4">
        <f t="shared" si="12"/>
        <v>0</v>
      </c>
    </row>
    <row r="101" spans="1:8" x14ac:dyDescent="0.25">
      <c r="A101">
        <v>94</v>
      </c>
      <c r="B101" s="1">
        <f t="shared" si="13"/>
        <v>238779.75161794206</v>
      </c>
      <c r="C101" s="8">
        <f t="shared" si="7"/>
        <v>935.22069383693986</v>
      </c>
      <c r="D101" s="8">
        <f t="shared" si="8"/>
        <v>620.69273448100228</v>
      </c>
      <c r="E101" s="2">
        <f t="shared" si="9"/>
        <v>0</v>
      </c>
      <c r="F101" s="1">
        <f t="shared" si="11"/>
        <v>238159.05888346105</v>
      </c>
      <c r="G101" s="1">
        <f t="shared" si="10"/>
        <v>935.22069383693986</v>
      </c>
      <c r="H101" s="4">
        <f t="shared" si="12"/>
        <v>0</v>
      </c>
    </row>
    <row r="102" spans="1:8" x14ac:dyDescent="0.25">
      <c r="A102">
        <v>95</v>
      </c>
      <c r="B102" s="1">
        <f t="shared" si="13"/>
        <v>238159.05888346105</v>
      </c>
      <c r="C102" s="8">
        <f t="shared" si="7"/>
        <v>932.78964729355584</v>
      </c>
      <c r="D102" s="8">
        <f t="shared" si="8"/>
        <v>623.12378102438629</v>
      </c>
      <c r="E102" s="2">
        <f t="shared" si="9"/>
        <v>0</v>
      </c>
      <c r="F102" s="1">
        <f t="shared" si="11"/>
        <v>237535.93510243666</v>
      </c>
      <c r="G102" s="1">
        <f t="shared" si="10"/>
        <v>932.78964729355584</v>
      </c>
      <c r="H102" s="4">
        <f t="shared" si="12"/>
        <v>0</v>
      </c>
    </row>
    <row r="103" spans="1:8" x14ac:dyDescent="0.25">
      <c r="A103">
        <v>96</v>
      </c>
      <c r="B103" s="1">
        <f t="shared" si="13"/>
        <v>237535.93510243666</v>
      </c>
      <c r="C103" s="8">
        <f t="shared" si="7"/>
        <v>930.34907915121028</v>
      </c>
      <c r="D103" s="8">
        <f t="shared" si="8"/>
        <v>625.56434916673186</v>
      </c>
      <c r="E103" s="2">
        <f t="shared" si="9"/>
        <v>500</v>
      </c>
      <c r="F103" s="1">
        <f t="shared" si="11"/>
        <v>236410.37075326993</v>
      </c>
      <c r="G103" s="1">
        <f t="shared" si="10"/>
        <v>930.34907915121028</v>
      </c>
      <c r="H103" s="4">
        <f t="shared" si="12"/>
        <v>0</v>
      </c>
    </row>
    <row r="104" spans="1:8" x14ac:dyDescent="0.25">
      <c r="A104">
        <v>97</v>
      </c>
      <c r="B104" s="1">
        <f t="shared" si="13"/>
        <v>236410.37075326993</v>
      </c>
      <c r="C104" s="8">
        <f t="shared" si="7"/>
        <v>925.94061878364062</v>
      </c>
      <c r="D104" s="8">
        <f t="shared" si="8"/>
        <v>629.97280953430152</v>
      </c>
      <c r="E104" s="2">
        <f t="shared" si="9"/>
        <v>0</v>
      </c>
      <c r="F104" s="1">
        <f t="shared" si="11"/>
        <v>235780.39794373565</v>
      </c>
      <c r="G104" s="1">
        <f t="shared" si="10"/>
        <v>925.94061878364062</v>
      </c>
      <c r="H104" s="4">
        <f t="shared" si="12"/>
        <v>0</v>
      </c>
    </row>
    <row r="105" spans="1:8" x14ac:dyDescent="0.25">
      <c r="A105">
        <v>98</v>
      </c>
      <c r="B105" s="1">
        <f t="shared" si="13"/>
        <v>235780.39794373565</v>
      </c>
      <c r="C105" s="8">
        <f t="shared" si="7"/>
        <v>923.47322527963127</v>
      </c>
      <c r="D105" s="8">
        <f t="shared" si="8"/>
        <v>632.44020303831087</v>
      </c>
      <c r="E105" s="2">
        <f t="shared" si="9"/>
        <v>0</v>
      </c>
      <c r="F105" s="1">
        <f t="shared" si="11"/>
        <v>235147.95774069734</v>
      </c>
      <c r="G105" s="1">
        <f t="shared" si="10"/>
        <v>923.47322527963127</v>
      </c>
      <c r="H105" s="4">
        <f t="shared" si="12"/>
        <v>0</v>
      </c>
    </row>
    <row r="106" spans="1:8" x14ac:dyDescent="0.25">
      <c r="A106">
        <v>99</v>
      </c>
      <c r="B106" s="1">
        <f t="shared" si="13"/>
        <v>235147.95774069734</v>
      </c>
      <c r="C106" s="8">
        <f t="shared" si="7"/>
        <v>920.99616781773136</v>
      </c>
      <c r="D106" s="8">
        <f t="shared" si="8"/>
        <v>634.91726050021077</v>
      </c>
      <c r="E106" s="2">
        <f t="shared" si="9"/>
        <v>500</v>
      </c>
      <c r="F106" s="1">
        <f t="shared" si="11"/>
        <v>234013.04048019712</v>
      </c>
      <c r="G106" s="1">
        <f t="shared" si="10"/>
        <v>920.99616781773136</v>
      </c>
      <c r="H106" s="4">
        <f t="shared" si="12"/>
        <v>0</v>
      </c>
    </row>
    <row r="107" spans="1:8" x14ac:dyDescent="0.25">
      <c r="A107">
        <v>100</v>
      </c>
      <c r="B107" s="1">
        <f t="shared" si="13"/>
        <v>234013.04048019712</v>
      </c>
      <c r="C107" s="8">
        <f t="shared" si="7"/>
        <v>916.55107521410537</v>
      </c>
      <c r="D107" s="8">
        <f t="shared" si="8"/>
        <v>639.36235310383677</v>
      </c>
      <c r="E107" s="2">
        <f t="shared" si="9"/>
        <v>0</v>
      </c>
      <c r="F107" s="1">
        <f t="shared" si="11"/>
        <v>233373.67812709327</v>
      </c>
      <c r="G107" s="1">
        <f t="shared" si="10"/>
        <v>916.55107521410537</v>
      </c>
      <c r="H107" s="4">
        <f t="shared" si="12"/>
        <v>0</v>
      </c>
    </row>
    <row r="108" spans="1:8" x14ac:dyDescent="0.25">
      <c r="A108">
        <v>101</v>
      </c>
      <c r="B108" s="1">
        <f t="shared" si="13"/>
        <v>233373.67812709327</v>
      </c>
      <c r="C108" s="8">
        <f t="shared" si="7"/>
        <v>914.04690599778189</v>
      </c>
      <c r="D108" s="8">
        <f t="shared" si="8"/>
        <v>641.86652232016024</v>
      </c>
      <c r="E108" s="2">
        <f t="shared" si="9"/>
        <v>0</v>
      </c>
      <c r="F108" s="1">
        <f t="shared" si="11"/>
        <v>232731.8116047731</v>
      </c>
      <c r="G108" s="1">
        <f t="shared" si="10"/>
        <v>914.04690599778189</v>
      </c>
      <c r="H108" s="4">
        <f t="shared" si="12"/>
        <v>0</v>
      </c>
    </row>
    <row r="109" spans="1:8" x14ac:dyDescent="0.25">
      <c r="A109">
        <v>102</v>
      </c>
      <c r="B109" s="1">
        <f t="shared" si="13"/>
        <v>232731.8116047731</v>
      </c>
      <c r="C109" s="8">
        <f t="shared" si="7"/>
        <v>911.53292878536138</v>
      </c>
      <c r="D109" s="8">
        <f t="shared" si="8"/>
        <v>644.38049953258076</v>
      </c>
      <c r="E109" s="2">
        <f t="shared" si="9"/>
        <v>500</v>
      </c>
      <c r="F109" s="1">
        <f t="shared" si="11"/>
        <v>231587.43110524051</v>
      </c>
      <c r="G109" s="1">
        <f t="shared" si="10"/>
        <v>911.53292878536138</v>
      </c>
      <c r="H109" s="4">
        <f t="shared" si="12"/>
        <v>0</v>
      </c>
    </row>
    <row r="110" spans="1:8" x14ac:dyDescent="0.25">
      <c r="A110">
        <v>103</v>
      </c>
      <c r="B110" s="1">
        <f t="shared" si="13"/>
        <v>231587.43110524051</v>
      </c>
      <c r="C110" s="8">
        <f t="shared" si="7"/>
        <v>907.05077182885861</v>
      </c>
      <c r="D110" s="8">
        <f t="shared" si="8"/>
        <v>648.86265648908352</v>
      </c>
      <c r="E110" s="2">
        <f t="shared" si="9"/>
        <v>0</v>
      </c>
      <c r="F110" s="1">
        <f t="shared" si="11"/>
        <v>230938.56844875144</v>
      </c>
      <c r="G110" s="1">
        <f t="shared" si="10"/>
        <v>907.05077182885861</v>
      </c>
      <c r="H110" s="4">
        <f t="shared" si="12"/>
        <v>0</v>
      </c>
    </row>
    <row r="111" spans="1:8" x14ac:dyDescent="0.25">
      <c r="A111">
        <v>104</v>
      </c>
      <c r="B111" s="1">
        <f t="shared" si="13"/>
        <v>230938.56844875144</v>
      </c>
      <c r="C111" s="8">
        <f t="shared" si="7"/>
        <v>904.50939309094304</v>
      </c>
      <c r="D111" s="8">
        <f t="shared" si="8"/>
        <v>651.4040352269991</v>
      </c>
      <c r="E111" s="2">
        <f t="shared" si="9"/>
        <v>0</v>
      </c>
      <c r="F111" s="1">
        <f t="shared" si="11"/>
        <v>230287.16441352444</v>
      </c>
      <c r="G111" s="1">
        <f t="shared" si="10"/>
        <v>904.50939309094304</v>
      </c>
      <c r="H111" s="4">
        <f t="shared" si="12"/>
        <v>0</v>
      </c>
    </row>
    <row r="112" spans="1:8" x14ac:dyDescent="0.25">
      <c r="A112">
        <v>105</v>
      </c>
      <c r="B112" s="1">
        <f t="shared" si="13"/>
        <v>230287.16441352444</v>
      </c>
      <c r="C112" s="8">
        <f t="shared" si="7"/>
        <v>901.95806061963742</v>
      </c>
      <c r="D112" s="8">
        <f t="shared" si="8"/>
        <v>653.95536769830471</v>
      </c>
      <c r="E112" s="2">
        <f t="shared" si="9"/>
        <v>500</v>
      </c>
      <c r="F112" s="1">
        <f t="shared" si="11"/>
        <v>229133.20904582614</v>
      </c>
      <c r="G112" s="1">
        <f t="shared" si="10"/>
        <v>901.95806061963742</v>
      </c>
      <c r="H112" s="4">
        <f t="shared" si="12"/>
        <v>0</v>
      </c>
    </row>
    <row r="113" spans="1:8" x14ac:dyDescent="0.25">
      <c r="A113">
        <v>106</v>
      </c>
      <c r="B113" s="1">
        <f t="shared" si="13"/>
        <v>229133.20904582614</v>
      </c>
      <c r="C113" s="8">
        <f t="shared" si="7"/>
        <v>897.43840209615234</v>
      </c>
      <c r="D113" s="8">
        <f t="shared" si="8"/>
        <v>658.47502622178979</v>
      </c>
      <c r="E113" s="2">
        <f t="shared" si="9"/>
        <v>0</v>
      </c>
      <c r="F113" s="1">
        <f t="shared" si="11"/>
        <v>228474.73401960434</v>
      </c>
      <c r="G113" s="1">
        <f t="shared" si="10"/>
        <v>897.43840209615234</v>
      </c>
      <c r="H113" s="4">
        <f t="shared" si="12"/>
        <v>0</v>
      </c>
    </row>
    <row r="114" spans="1:8" x14ac:dyDescent="0.25">
      <c r="A114">
        <v>107</v>
      </c>
      <c r="B114" s="1">
        <f t="shared" si="13"/>
        <v>228474.73401960434</v>
      </c>
      <c r="C114" s="8">
        <f t="shared" si="7"/>
        <v>894.85937491011703</v>
      </c>
      <c r="D114" s="8">
        <f t="shared" si="8"/>
        <v>661.05405340782511</v>
      </c>
      <c r="E114" s="2">
        <f t="shared" si="9"/>
        <v>0</v>
      </c>
      <c r="F114" s="1">
        <f t="shared" si="11"/>
        <v>227813.67996619651</v>
      </c>
      <c r="G114" s="1">
        <f t="shared" si="10"/>
        <v>894.85937491011703</v>
      </c>
      <c r="H114" s="4">
        <f t="shared" si="12"/>
        <v>0</v>
      </c>
    </row>
    <row r="115" spans="1:8" x14ac:dyDescent="0.25">
      <c r="A115">
        <v>108</v>
      </c>
      <c r="B115" s="1">
        <f t="shared" si="13"/>
        <v>227813.67996619651</v>
      </c>
      <c r="C115" s="8">
        <f t="shared" si="7"/>
        <v>892.27024653426963</v>
      </c>
      <c r="D115" s="8">
        <f t="shared" si="8"/>
        <v>663.6431817836725</v>
      </c>
      <c r="E115" s="2">
        <f t="shared" si="9"/>
        <v>500</v>
      </c>
      <c r="F115" s="1">
        <f t="shared" si="11"/>
        <v>226650.03678441283</v>
      </c>
      <c r="G115" s="1">
        <f t="shared" si="10"/>
        <v>892.27024653426963</v>
      </c>
      <c r="H115" s="4">
        <f t="shared" si="12"/>
        <v>0</v>
      </c>
    </row>
    <row r="116" spans="1:8" x14ac:dyDescent="0.25">
      <c r="A116">
        <v>109</v>
      </c>
      <c r="B116" s="1">
        <f t="shared" si="13"/>
        <v>226650.03678441283</v>
      </c>
      <c r="C116" s="8">
        <f t="shared" si="7"/>
        <v>887.71264407228364</v>
      </c>
      <c r="D116" s="8">
        <f t="shared" si="8"/>
        <v>668.2007842456585</v>
      </c>
      <c r="E116" s="2">
        <f t="shared" si="9"/>
        <v>0</v>
      </c>
      <c r="F116" s="1">
        <f t="shared" si="11"/>
        <v>225981.83600016718</v>
      </c>
      <c r="G116" s="1">
        <f t="shared" si="10"/>
        <v>887.71264407228364</v>
      </c>
      <c r="H116" s="4">
        <f t="shared" si="12"/>
        <v>0</v>
      </c>
    </row>
    <row r="117" spans="1:8" x14ac:dyDescent="0.25">
      <c r="A117">
        <v>110</v>
      </c>
      <c r="B117" s="1">
        <f t="shared" si="13"/>
        <v>225981.83600016718</v>
      </c>
      <c r="C117" s="8">
        <f t="shared" si="7"/>
        <v>885.09552433398812</v>
      </c>
      <c r="D117" s="8">
        <f t="shared" si="8"/>
        <v>670.81790398395401</v>
      </c>
      <c r="E117" s="2">
        <f t="shared" si="9"/>
        <v>0</v>
      </c>
      <c r="F117" s="1">
        <f t="shared" si="11"/>
        <v>225311.01809618322</v>
      </c>
      <c r="G117" s="1">
        <f t="shared" si="10"/>
        <v>885.09552433398812</v>
      </c>
      <c r="H117" s="4">
        <f t="shared" si="12"/>
        <v>0</v>
      </c>
    </row>
    <row r="118" spans="1:8" x14ac:dyDescent="0.25">
      <c r="A118">
        <v>111</v>
      </c>
      <c r="B118" s="1">
        <f t="shared" si="13"/>
        <v>225311.01809618322</v>
      </c>
      <c r="C118" s="8">
        <f t="shared" si="7"/>
        <v>882.46815421005101</v>
      </c>
      <c r="D118" s="8">
        <f t="shared" si="8"/>
        <v>673.44527410789112</v>
      </c>
      <c r="E118" s="2">
        <f t="shared" si="9"/>
        <v>500</v>
      </c>
      <c r="F118" s="1">
        <f t="shared" si="11"/>
        <v>224137.57282207534</v>
      </c>
      <c r="G118" s="1">
        <f t="shared" si="10"/>
        <v>882.46815421005101</v>
      </c>
      <c r="H118" s="4">
        <f t="shared" si="12"/>
        <v>0</v>
      </c>
    </row>
    <row r="119" spans="1:8" x14ac:dyDescent="0.25">
      <c r="A119">
        <v>112</v>
      </c>
      <c r="B119" s="1">
        <f t="shared" si="13"/>
        <v>224137.57282207534</v>
      </c>
      <c r="C119" s="8">
        <f t="shared" si="7"/>
        <v>877.87216021979509</v>
      </c>
      <c r="D119" s="8">
        <f t="shared" si="8"/>
        <v>678.04126809814704</v>
      </c>
      <c r="E119" s="2">
        <f t="shared" si="9"/>
        <v>0</v>
      </c>
      <c r="F119" s="1">
        <f t="shared" si="11"/>
        <v>223459.5315539772</v>
      </c>
      <c r="G119" s="1">
        <f t="shared" si="10"/>
        <v>877.87216021979509</v>
      </c>
      <c r="H119" s="4">
        <f t="shared" si="12"/>
        <v>0</v>
      </c>
    </row>
    <row r="120" spans="1:8" x14ac:dyDescent="0.25">
      <c r="A120">
        <v>113</v>
      </c>
      <c r="B120" s="1">
        <f t="shared" si="13"/>
        <v>223459.5315539772</v>
      </c>
      <c r="C120" s="8">
        <f t="shared" si="7"/>
        <v>875.21649858641069</v>
      </c>
      <c r="D120" s="8">
        <f t="shared" si="8"/>
        <v>680.69692973153144</v>
      </c>
      <c r="E120" s="2">
        <f t="shared" si="9"/>
        <v>0</v>
      </c>
      <c r="F120" s="1">
        <f t="shared" si="11"/>
        <v>222778.83462424568</v>
      </c>
      <c r="G120" s="1">
        <f t="shared" si="10"/>
        <v>875.21649858641069</v>
      </c>
      <c r="H120" s="4">
        <f t="shared" si="12"/>
        <v>0</v>
      </c>
    </row>
    <row r="121" spans="1:8" x14ac:dyDescent="0.25">
      <c r="A121">
        <v>114</v>
      </c>
      <c r="B121" s="1">
        <f t="shared" si="13"/>
        <v>222778.83462424568</v>
      </c>
      <c r="C121" s="8">
        <f t="shared" si="7"/>
        <v>872.55043561162893</v>
      </c>
      <c r="D121" s="8">
        <f t="shared" si="8"/>
        <v>683.36299270631321</v>
      </c>
      <c r="E121" s="2">
        <f t="shared" si="9"/>
        <v>500</v>
      </c>
      <c r="F121" s="1">
        <f t="shared" si="11"/>
        <v>221595.47163153937</v>
      </c>
      <c r="G121" s="1">
        <f t="shared" si="10"/>
        <v>872.55043561162893</v>
      </c>
      <c r="H121" s="4">
        <f t="shared" si="12"/>
        <v>0</v>
      </c>
    </row>
    <row r="122" spans="1:8" x14ac:dyDescent="0.25">
      <c r="A122">
        <v>115</v>
      </c>
      <c r="B122" s="1">
        <f t="shared" si="13"/>
        <v>221595.47163153937</v>
      </c>
      <c r="C122" s="8">
        <f t="shared" si="7"/>
        <v>867.91559722352929</v>
      </c>
      <c r="D122" s="8">
        <f t="shared" si="8"/>
        <v>687.99783109441285</v>
      </c>
      <c r="E122" s="2">
        <f t="shared" si="9"/>
        <v>0</v>
      </c>
      <c r="F122" s="1">
        <f t="shared" si="11"/>
        <v>220907.47380044498</v>
      </c>
      <c r="G122" s="1">
        <f t="shared" si="10"/>
        <v>867.91559722352929</v>
      </c>
      <c r="H122" s="4">
        <f t="shared" si="12"/>
        <v>0</v>
      </c>
    </row>
    <row r="123" spans="1:8" x14ac:dyDescent="0.25">
      <c r="A123">
        <v>116</v>
      </c>
      <c r="B123" s="1">
        <f t="shared" si="13"/>
        <v>220907.47380044498</v>
      </c>
      <c r="C123" s="8">
        <f t="shared" si="7"/>
        <v>865.22093905174279</v>
      </c>
      <c r="D123" s="8">
        <f t="shared" si="8"/>
        <v>690.69248926619935</v>
      </c>
      <c r="E123" s="2">
        <f t="shared" si="9"/>
        <v>0</v>
      </c>
      <c r="F123" s="1">
        <f t="shared" si="11"/>
        <v>220216.78131117878</v>
      </c>
      <c r="G123" s="1">
        <f t="shared" si="10"/>
        <v>865.22093905174279</v>
      </c>
      <c r="H123" s="4">
        <f t="shared" si="12"/>
        <v>0</v>
      </c>
    </row>
    <row r="124" spans="1:8" x14ac:dyDescent="0.25">
      <c r="A124">
        <v>117</v>
      </c>
      <c r="B124" s="1">
        <f t="shared" si="13"/>
        <v>220216.78131117878</v>
      </c>
      <c r="C124" s="8">
        <f t="shared" si="7"/>
        <v>862.515726802117</v>
      </c>
      <c r="D124" s="8">
        <f t="shared" si="8"/>
        <v>693.39770151582513</v>
      </c>
      <c r="E124" s="2">
        <f t="shared" si="9"/>
        <v>500</v>
      </c>
      <c r="F124" s="1">
        <f t="shared" si="11"/>
        <v>219023.38360966297</v>
      </c>
      <c r="G124" s="1">
        <f t="shared" si="10"/>
        <v>862.515726802117</v>
      </c>
      <c r="H124" s="4">
        <f t="shared" si="12"/>
        <v>0</v>
      </c>
    </row>
    <row r="125" spans="1:8" x14ac:dyDescent="0.25">
      <c r="A125">
        <v>118</v>
      </c>
      <c r="B125" s="1">
        <f t="shared" si="13"/>
        <v>219023.38360966297</v>
      </c>
      <c r="C125" s="8">
        <f t="shared" si="7"/>
        <v>857.84158580451333</v>
      </c>
      <c r="D125" s="8">
        <f t="shared" si="8"/>
        <v>698.07184251342881</v>
      </c>
      <c r="E125" s="2">
        <f t="shared" si="9"/>
        <v>0</v>
      </c>
      <c r="F125" s="1">
        <f t="shared" si="11"/>
        <v>218325.31176714954</v>
      </c>
      <c r="G125" s="1">
        <f t="shared" si="10"/>
        <v>857.84158580451333</v>
      </c>
      <c r="H125" s="4">
        <f t="shared" si="12"/>
        <v>0</v>
      </c>
    </row>
    <row r="126" spans="1:8" x14ac:dyDescent="0.25">
      <c r="A126">
        <v>119</v>
      </c>
      <c r="B126" s="1">
        <f t="shared" si="13"/>
        <v>218325.31176714954</v>
      </c>
      <c r="C126" s="8">
        <f t="shared" si="7"/>
        <v>855.1074710880024</v>
      </c>
      <c r="D126" s="8">
        <f t="shared" si="8"/>
        <v>700.80595722993974</v>
      </c>
      <c r="E126" s="2">
        <f t="shared" si="9"/>
        <v>0</v>
      </c>
      <c r="F126" s="1">
        <f t="shared" si="11"/>
        <v>217624.50580991959</v>
      </c>
      <c r="G126" s="1">
        <f t="shared" si="10"/>
        <v>855.1074710880024</v>
      </c>
      <c r="H126" s="4">
        <f t="shared" si="12"/>
        <v>0</v>
      </c>
    </row>
    <row r="127" spans="1:8" x14ac:dyDescent="0.25">
      <c r="A127">
        <v>120</v>
      </c>
      <c r="B127" s="1">
        <f t="shared" si="13"/>
        <v>217624.50580991959</v>
      </c>
      <c r="C127" s="8">
        <f t="shared" si="7"/>
        <v>852.36264775551842</v>
      </c>
      <c r="D127" s="8">
        <f t="shared" si="8"/>
        <v>703.55078056242371</v>
      </c>
      <c r="E127" s="2">
        <f t="shared" si="9"/>
        <v>500</v>
      </c>
      <c r="F127" s="1">
        <f t="shared" si="11"/>
        <v>216420.95502935717</v>
      </c>
      <c r="G127" s="1">
        <f t="shared" si="10"/>
        <v>852.36264775551842</v>
      </c>
      <c r="H127" s="4">
        <f t="shared" si="12"/>
        <v>0</v>
      </c>
    </row>
    <row r="128" spans="1:8" x14ac:dyDescent="0.25">
      <c r="A128">
        <v>121</v>
      </c>
      <c r="B128" s="1">
        <f t="shared" si="13"/>
        <v>216420.95502935717</v>
      </c>
      <c r="C128" s="8">
        <f t="shared" si="7"/>
        <v>847.64874053164885</v>
      </c>
      <c r="D128" s="8">
        <f t="shared" si="8"/>
        <v>708.26468778629328</v>
      </c>
      <c r="E128" s="2">
        <f t="shared" si="9"/>
        <v>0</v>
      </c>
      <c r="F128" s="1">
        <f t="shared" si="11"/>
        <v>215712.69034157088</v>
      </c>
      <c r="G128" s="1">
        <f t="shared" si="10"/>
        <v>847.64874053164885</v>
      </c>
      <c r="H128" s="4">
        <f t="shared" si="12"/>
        <v>0</v>
      </c>
    </row>
    <row r="129" spans="1:8" x14ac:dyDescent="0.25">
      <c r="A129">
        <v>122</v>
      </c>
      <c r="B129" s="1">
        <f t="shared" si="13"/>
        <v>215712.69034157088</v>
      </c>
      <c r="C129" s="8">
        <f t="shared" si="7"/>
        <v>844.87470383781931</v>
      </c>
      <c r="D129" s="8">
        <f t="shared" si="8"/>
        <v>711.03872448012282</v>
      </c>
      <c r="E129" s="2">
        <f t="shared" si="9"/>
        <v>0</v>
      </c>
      <c r="F129" s="1">
        <f t="shared" si="11"/>
        <v>215001.65161709077</v>
      </c>
      <c r="G129" s="1">
        <f t="shared" si="10"/>
        <v>844.87470383781931</v>
      </c>
      <c r="H129" s="4">
        <f t="shared" si="12"/>
        <v>0</v>
      </c>
    </row>
    <row r="130" spans="1:8" x14ac:dyDescent="0.25">
      <c r="A130">
        <v>123</v>
      </c>
      <c r="B130" s="1">
        <f t="shared" si="13"/>
        <v>215001.65161709077</v>
      </c>
      <c r="C130" s="8">
        <f t="shared" si="7"/>
        <v>842.08980216693897</v>
      </c>
      <c r="D130" s="8">
        <f t="shared" si="8"/>
        <v>713.82362615100317</v>
      </c>
      <c r="E130" s="2">
        <f t="shared" si="9"/>
        <v>500</v>
      </c>
      <c r="F130" s="1">
        <f t="shared" si="11"/>
        <v>213787.82799093975</v>
      </c>
      <c r="G130" s="1">
        <f t="shared" si="10"/>
        <v>842.08980216693897</v>
      </c>
      <c r="H130" s="4">
        <f t="shared" si="12"/>
        <v>0</v>
      </c>
    </row>
    <row r="131" spans="1:8" x14ac:dyDescent="0.25">
      <c r="A131">
        <v>124</v>
      </c>
      <c r="B131" s="1">
        <f t="shared" si="13"/>
        <v>213787.82799093975</v>
      </c>
      <c r="C131" s="8">
        <f t="shared" si="7"/>
        <v>837.33565963118065</v>
      </c>
      <c r="D131" s="8">
        <f t="shared" si="8"/>
        <v>718.57776868676149</v>
      </c>
      <c r="E131" s="2">
        <f t="shared" si="9"/>
        <v>0</v>
      </c>
      <c r="F131" s="1">
        <f t="shared" si="11"/>
        <v>213069.250222253</v>
      </c>
      <c r="G131" s="1">
        <f t="shared" si="10"/>
        <v>837.33565963118065</v>
      </c>
      <c r="H131" s="4">
        <f t="shared" si="12"/>
        <v>0</v>
      </c>
    </row>
    <row r="132" spans="1:8" x14ac:dyDescent="0.25">
      <c r="A132">
        <v>125</v>
      </c>
      <c r="B132" s="1">
        <f t="shared" si="13"/>
        <v>213069.250222253</v>
      </c>
      <c r="C132" s="8">
        <f t="shared" si="7"/>
        <v>834.52123003715758</v>
      </c>
      <c r="D132" s="8">
        <f t="shared" si="8"/>
        <v>721.39219828078456</v>
      </c>
      <c r="E132" s="2">
        <f t="shared" si="9"/>
        <v>0</v>
      </c>
      <c r="F132" s="1">
        <f t="shared" si="11"/>
        <v>212347.85802397222</v>
      </c>
      <c r="G132" s="1">
        <f t="shared" si="10"/>
        <v>834.52123003715758</v>
      </c>
      <c r="H132" s="4">
        <f t="shared" si="12"/>
        <v>0</v>
      </c>
    </row>
    <row r="133" spans="1:8" x14ac:dyDescent="0.25">
      <c r="A133">
        <v>126</v>
      </c>
      <c r="B133" s="1">
        <f t="shared" si="13"/>
        <v>212347.85802397222</v>
      </c>
      <c r="C133" s="8">
        <f t="shared" si="7"/>
        <v>831.69577726055786</v>
      </c>
      <c r="D133" s="8">
        <f t="shared" si="8"/>
        <v>724.21765105738427</v>
      </c>
      <c r="E133" s="2">
        <f t="shared" si="9"/>
        <v>500</v>
      </c>
      <c r="F133" s="1">
        <f t="shared" si="11"/>
        <v>211123.64037291484</v>
      </c>
      <c r="G133" s="1">
        <f t="shared" si="10"/>
        <v>831.69577726055786</v>
      </c>
      <c r="H133" s="4">
        <f t="shared" si="12"/>
        <v>0</v>
      </c>
    </row>
    <row r="134" spans="1:8" x14ac:dyDescent="0.25">
      <c r="A134">
        <v>127</v>
      </c>
      <c r="B134" s="1">
        <f t="shared" si="13"/>
        <v>211123.64037291484</v>
      </c>
      <c r="C134" s="8">
        <f t="shared" si="7"/>
        <v>826.90092479391649</v>
      </c>
      <c r="D134" s="8">
        <f t="shared" si="8"/>
        <v>729.01250352402565</v>
      </c>
      <c r="E134" s="2">
        <f t="shared" si="9"/>
        <v>0</v>
      </c>
      <c r="F134" s="1">
        <f t="shared" si="11"/>
        <v>210394.62786939082</v>
      </c>
      <c r="G134" s="1">
        <f t="shared" si="10"/>
        <v>826.90092479391649</v>
      </c>
      <c r="H134" s="4">
        <f t="shared" si="12"/>
        <v>0</v>
      </c>
    </row>
    <row r="135" spans="1:8" x14ac:dyDescent="0.25">
      <c r="A135">
        <v>128</v>
      </c>
      <c r="B135" s="1">
        <f t="shared" si="13"/>
        <v>210394.62786939082</v>
      </c>
      <c r="C135" s="8">
        <f t="shared" si="7"/>
        <v>824.04562582178062</v>
      </c>
      <c r="D135" s="8">
        <f t="shared" si="8"/>
        <v>731.86780249616152</v>
      </c>
      <c r="E135" s="2">
        <f t="shared" si="9"/>
        <v>0</v>
      </c>
      <c r="F135" s="1">
        <f t="shared" si="11"/>
        <v>209662.76006689467</v>
      </c>
      <c r="G135" s="1">
        <f t="shared" si="10"/>
        <v>824.04562582178062</v>
      </c>
      <c r="H135" s="4">
        <f t="shared" si="12"/>
        <v>0</v>
      </c>
    </row>
    <row r="136" spans="1:8" x14ac:dyDescent="0.25">
      <c r="A136">
        <v>129</v>
      </c>
      <c r="B136" s="1">
        <f t="shared" si="13"/>
        <v>209662.76006689467</v>
      </c>
      <c r="C136" s="8">
        <f t="shared" ref="C136:C199" si="14">B136*int/12</f>
        <v>821.17914359533745</v>
      </c>
      <c r="D136" s="8">
        <f t="shared" ref="D136:D199" si="15">pmt-C136</f>
        <v>734.73428472260468</v>
      </c>
      <c r="E136" s="2">
        <f t="shared" ref="E136:E199" si="16">IFERROR(IF(MOD(A136,interval)=0,extrapmt,0),0)</f>
        <v>500</v>
      </c>
      <c r="F136" s="1">
        <f t="shared" si="11"/>
        <v>208428.02578217207</v>
      </c>
      <c r="G136" s="1">
        <f t="shared" ref="G136:G199" si="17">B136*int/12</f>
        <v>821.17914359533745</v>
      </c>
      <c r="H136" s="4">
        <f t="shared" si="12"/>
        <v>0</v>
      </c>
    </row>
    <row r="137" spans="1:8" x14ac:dyDescent="0.25">
      <c r="A137">
        <v>130</v>
      </c>
      <c r="B137" s="1">
        <f t="shared" si="13"/>
        <v>208428.02578217207</v>
      </c>
      <c r="C137" s="8">
        <f t="shared" si="14"/>
        <v>816.34310098017397</v>
      </c>
      <c r="D137" s="8">
        <f t="shared" si="15"/>
        <v>739.57032733776816</v>
      </c>
      <c r="E137" s="2">
        <f t="shared" si="16"/>
        <v>0</v>
      </c>
      <c r="F137" s="1">
        <f t="shared" ref="F137:F200" si="18">IF(B137-D137-E137&lt;0,0,B137-D137-E137)</f>
        <v>207688.4554548343</v>
      </c>
      <c r="G137" s="1">
        <f t="shared" si="17"/>
        <v>816.34310098017397</v>
      </c>
      <c r="H137" s="4">
        <f t="shared" ref="H137:H200" si="19">(F137&gt;0)*(F138=0)</f>
        <v>0</v>
      </c>
    </row>
    <row r="138" spans="1:8" x14ac:dyDescent="0.25">
      <c r="A138">
        <v>131</v>
      </c>
      <c r="B138" s="1">
        <f t="shared" si="13"/>
        <v>207688.4554548343</v>
      </c>
      <c r="C138" s="8">
        <f t="shared" si="14"/>
        <v>813.44645053143438</v>
      </c>
      <c r="D138" s="8">
        <f t="shared" si="15"/>
        <v>742.46697778650775</v>
      </c>
      <c r="E138" s="2">
        <f t="shared" si="16"/>
        <v>0</v>
      </c>
      <c r="F138" s="1">
        <f t="shared" si="18"/>
        <v>206945.98847704779</v>
      </c>
      <c r="G138" s="1">
        <f t="shared" si="17"/>
        <v>813.44645053143438</v>
      </c>
      <c r="H138" s="4">
        <f t="shared" si="19"/>
        <v>0</v>
      </c>
    </row>
    <row r="139" spans="1:8" x14ac:dyDescent="0.25">
      <c r="A139">
        <v>132</v>
      </c>
      <c r="B139" s="1">
        <f t="shared" ref="B139:B202" si="20">F138</f>
        <v>206945.98847704779</v>
      </c>
      <c r="C139" s="8">
        <f t="shared" si="14"/>
        <v>810.53845486843727</v>
      </c>
      <c r="D139" s="8">
        <f t="shared" si="15"/>
        <v>745.37497344950486</v>
      </c>
      <c r="E139" s="2">
        <f t="shared" si="16"/>
        <v>500</v>
      </c>
      <c r="F139" s="1">
        <f t="shared" si="18"/>
        <v>205700.61350359829</v>
      </c>
      <c r="G139" s="1">
        <f t="shared" si="17"/>
        <v>810.53845486843727</v>
      </c>
      <c r="H139" s="4">
        <f t="shared" si="19"/>
        <v>0</v>
      </c>
    </row>
    <row r="140" spans="1:8" x14ac:dyDescent="0.25">
      <c r="A140">
        <v>133</v>
      </c>
      <c r="B140" s="1">
        <f t="shared" si="20"/>
        <v>205700.61350359829</v>
      </c>
      <c r="C140" s="8">
        <f t="shared" si="14"/>
        <v>805.66073622242664</v>
      </c>
      <c r="D140" s="8">
        <f t="shared" si="15"/>
        <v>750.2526920955155</v>
      </c>
      <c r="E140" s="2">
        <f t="shared" si="16"/>
        <v>0</v>
      </c>
      <c r="F140" s="1">
        <f t="shared" si="18"/>
        <v>204950.36081150276</v>
      </c>
      <c r="G140" s="1">
        <f t="shared" si="17"/>
        <v>805.66073622242664</v>
      </c>
      <c r="H140" s="4">
        <f t="shared" si="19"/>
        <v>0</v>
      </c>
    </row>
    <row r="141" spans="1:8" x14ac:dyDescent="0.25">
      <c r="A141">
        <v>134</v>
      </c>
      <c r="B141" s="1">
        <f t="shared" si="20"/>
        <v>204950.36081150276</v>
      </c>
      <c r="C141" s="8">
        <f t="shared" si="14"/>
        <v>802.72224651171916</v>
      </c>
      <c r="D141" s="8">
        <f t="shared" si="15"/>
        <v>753.19118180622297</v>
      </c>
      <c r="E141" s="2">
        <f t="shared" si="16"/>
        <v>0</v>
      </c>
      <c r="F141" s="1">
        <f t="shared" si="18"/>
        <v>204197.16962969652</v>
      </c>
      <c r="G141" s="1">
        <f t="shared" si="17"/>
        <v>802.72224651171916</v>
      </c>
      <c r="H141" s="4">
        <f t="shared" si="19"/>
        <v>0</v>
      </c>
    </row>
    <row r="142" spans="1:8" x14ac:dyDescent="0.25">
      <c r="A142">
        <v>135</v>
      </c>
      <c r="B142" s="1">
        <f t="shared" si="20"/>
        <v>204197.16962969652</v>
      </c>
      <c r="C142" s="8">
        <f t="shared" si="14"/>
        <v>799.77224771631143</v>
      </c>
      <c r="D142" s="8">
        <f t="shared" si="15"/>
        <v>756.14118060163071</v>
      </c>
      <c r="E142" s="2">
        <f t="shared" si="16"/>
        <v>500</v>
      </c>
      <c r="F142" s="1">
        <f t="shared" si="18"/>
        <v>202941.02844909488</v>
      </c>
      <c r="G142" s="1">
        <f t="shared" si="17"/>
        <v>799.77224771631143</v>
      </c>
      <c r="H142" s="4">
        <f t="shared" si="19"/>
        <v>0</v>
      </c>
    </row>
    <row r="143" spans="1:8" x14ac:dyDescent="0.25">
      <c r="A143">
        <v>136</v>
      </c>
      <c r="B143" s="1">
        <f t="shared" si="20"/>
        <v>202941.02844909488</v>
      </c>
      <c r="C143" s="8">
        <f t="shared" si="14"/>
        <v>794.85236142562155</v>
      </c>
      <c r="D143" s="8">
        <f t="shared" si="15"/>
        <v>761.06106689232058</v>
      </c>
      <c r="E143" s="2">
        <f t="shared" si="16"/>
        <v>0</v>
      </c>
      <c r="F143" s="1">
        <f t="shared" si="18"/>
        <v>202179.96738220257</v>
      </c>
      <c r="G143" s="1">
        <f t="shared" si="17"/>
        <v>794.85236142562155</v>
      </c>
      <c r="H143" s="4">
        <f t="shared" si="19"/>
        <v>0</v>
      </c>
    </row>
    <row r="144" spans="1:8" x14ac:dyDescent="0.25">
      <c r="A144">
        <v>137</v>
      </c>
      <c r="B144" s="1">
        <f t="shared" si="20"/>
        <v>202179.96738220257</v>
      </c>
      <c r="C144" s="8">
        <f t="shared" si="14"/>
        <v>791.87153891362675</v>
      </c>
      <c r="D144" s="8">
        <f t="shared" si="15"/>
        <v>764.04188940431538</v>
      </c>
      <c r="E144" s="2">
        <f t="shared" si="16"/>
        <v>0</v>
      </c>
      <c r="F144" s="1">
        <f t="shared" si="18"/>
        <v>201415.92549279824</v>
      </c>
      <c r="G144" s="1">
        <f t="shared" si="17"/>
        <v>791.87153891362675</v>
      </c>
      <c r="H144" s="4">
        <f t="shared" si="19"/>
        <v>0</v>
      </c>
    </row>
    <row r="145" spans="1:8" x14ac:dyDescent="0.25">
      <c r="A145">
        <v>138</v>
      </c>
      <c r="B145" s="1">
        <f t="shared" si="20"/>
        <v>201415.92549279824</v>
      </c>
      <c r="C145" s="8">
        <f t="shared" si="14"/>
        <v>788.87904151345981</v>
      </c>
      <c r="D145" s="8">
        <f t="shared" si="15"/>
        <v>767.03438680448232</v>
      </c>
      <c r="E145" s="2">
        <f t="shared" si="16"/>
        <v>500</v>
      </c>
      <c r="F145" s="1">
        <f t="shared" si="18"/>
        <v>200148.89110599377</v>
      </c>
      <c r="G145" s="1">
        <f t="shared" si="17"/>
        <v>788.87904151345981</v>
      </c>
      <c r="H145" s="4">
        <f t="shared" si="19"/>
        <v>0</v>
      </c>
    </row>
    <row r="146" spans="1:8" x14ac:dyDescent="0.25">
      <c r="A146">
        <v>139</v>
      </c>
      <c r="B146" s="1">
        <f t="shared" si="20"/>
        <v>200148.89110599377</v>
      </c>
      <c r="C146" s="8">
        <f t="shared" si="14"/>
        <v>783.91649016514236</v>
      </c>
      <c r="D146" s="8">
        <f t="shared" si="15"/>
        <v>771.99693815279977</v>
      </c>
      <c r="E146" s="2">
        <f t="shared" si="16"/>
        <v>0</v>
      </c>
      <c r="F146" s="1">
        <f t="shared" si="18"/>
        <v>199376.89416784098</v>
      </c>
      <c r="G146" s="1">
        <f t="shared" si="17"/>
        <v>783.91649016514236</v>
      </c>
      <c r="H146" s="4">
        <f t="shared" si="19"/>
        <v>0</v>
      </c>
    </row>
    <row r="147" spans="1:8" x14ac:dyDescent="0.25">
      <c r="A147">
        <v>140</v>
      </c>
      <c r="B147" s="1">
        <f t="shared" si="20"/>
        <v>199376.89416784098</v>
      </c>
      <c r="C147" s="8">
        <f t="shared" si="14"/>
        <v>780.89283549071058</v>
      </c>
      <c r="D147" s="8">
        <f t="shared" si="15"/>
        <v>775.02059282723155</v>
      </c>
      <c r="E147" s="2">
        <f t="shared" si="16"/>
        <v>0</v>
      </c>
      <c r="F147" s="1">
        <f t="shared" si="18"/>
        <v>198601.87357501374</v>
      </c>
      <c r="G147" s="1">
        <f t="shared" si="17"/>
        <v>780.89283549071058</v>
      </c>
      <c r="H147" s="4">
        <f t="shared" si="19"/>
        <v>0</v>
      </c>
    </row>
    <row r="148" spans="1:8" x14ac:dyDescent="0.25">
      <c r="A148">
        <v>141</v>
      </c>
      <c r="B148" s="1">
        <f t="shared" si="20"/>
        <v>198601.87357501374</v>
      </c>
      <c r="C148" s="8">
        <f t="shared" si="14"/>
        <v>777.85733816880384</v>
      </c>
      <c r="D148" s="8">
        <f t="shared" si="15"/>
        <v>778.0560901491383</v>
      </c>
      <c r="E148" s="2">
        <f t="shared" si="16"/>
        <v>500</v>
      </c>
      <c r="F148" s="1">
        <f t="shared" si="18"/>
        <v>197323.81748486462</v>
      </c>
      <c r="G148" s="1">
        <f t="shared" si="17"/>
        <v>777.85733816880384</v>
      </c>
      <c r="H148" s="4">
        <f t="shared" si="19"/>
        <v>0</v>
      </c>
    </row>
    <row r="149" spans="1:8" x14ac:dyDescent="0.25">
      <c r="A149">
        <v>142</v>
      </c>
      <c r="B149" s="1">
        <f t="shared" si="20"/>
        <v>197323.81748486462</v>
      </c>
      <c r="C149" s="8">
        <f t="shared" si="14"/>
        <v>772.85161848238647</v>
      </c>
      <c r="D149" s="8">
        <f t="shared" si="15"/>
        <v>783.06180983555566</v>
      </c>
      <c r="E149" s="2">
        <f t="shared" si="16"/>
        <v>0</v>
      </c>
      <c r="F149" s="1">
        <f t="shared" si="18"/>
        <v>196540.75567502907</v>
      </c>
      <c r="G149" s="1">
        <f t="shared" si="17"/>
        <v>772.85161848238647</v>
      </c>
      <c r="H149" s="4">
        <f t="shared" si="19"/>
        <v>0</v>
      </c>
    </row>
    <row r="150" spans="1:8" x14ac:dyDescent="0.25">
      <c r="A150">
        <v>143</v>
      </c>
      <c r="B150" s="1">
        <f t="shared" si="20"/>
        <v>196540.75567502907</v>
      </c>
      <c r="C150" s="8">
        <f t="shared" si="14"/>
        <v>769.78462639386396</v>
      </c>
      <c r="D150" s="8">
        <f t="shared" si="15"/>
        <v>786.12880192407818</v>
      </c>
      <c r="E150" s="2">
        <f t="shared" si="16"/>
        <v>0</v>
      </c>
      <c r="F150" s="1">
        <f t="shared" si="18"/>
        <v>195754.62687310498</v>
      </c>
      <c r="G150" s="1">
        <f t="shared" si="17"/>
        <v>769.78462639386396</v>
      </c>
      <c r="H150" s="4">
        <f t="shared" si="19"/>
        <v>0</v>
      </c>
    </row>
    <row r="151" spans="1:8" x14ac:dyDescent="0.25">
      <c r="A151">
        <v>144</v>
      </c>
      <c r="B151" s="1">
        <f t="shared" si="20"/>
        <v>195754.62687310498</v>
      </c>
      <c r="C151" s="8">
        <f t="shared" si="14"/>
        <v>766.7056219196611</v>
      </c>
      <c r="D151" s="8">
        <f t="shared" si="15"/>
        <v>789.20780639828104</v>
      </c>
      <c r="E151" s="2">
        <f t="shared" si="16"/>
        <v>500</v>
      </c>
      <c r="F151" s="1">
        <f t="shared" si="18"/>
        <v>194465.4190667067</v>
      </c>
      <c r="G151" s="1">
        <f t="shared" si="17"/>
        <v>766.7056219196611</v>
      </c>
      <c r="H151" s="4">
        <f t="shared" si="19"/>
        <v>0</v>
      </c>
    </row>
    <row r="152" spans="1:8" x14ac:dyDescent="0.25">
      <c r="A152">
        <v>145</v>
      </c>
      <c r="B152" s="1">
        <f t="shared" si="20"/>
        <v>194465.4190667067</v>
      </c>
      <c r="C152" s="8">
        <f t="shared" si="14"/>
        <v>761.65622467793457</v>
      </c>
      <c r="D152" s="8">
        <f t="shared" si="15"/>
        <v>794.25720364000756</v>
      </c>
      <c r="E152" s="2">
        <f t="shared" si="16"/>
        <v>0</v>
      </c>
      <c r="F152" s="1">
        <f t="shared" si="18"/>
        <v>193671.16186306669</v>
      </c>
      <c r="G152" s="1">
        <f t="shared" si="17"/>
        <v>761.65622467793457</v>
      </c>
      <c r="H152" s="4">
        <f t="shared" si="19"/>
        <v>0</v>
      </c>
    </row>
    <row r="153" spans="1:8" x14ac:dyDescent="0.25">
      <c r="A153">
        <v>146</v>
      </c>
      <c r="B153" s="1">
        <f t="shared" si="20"/>
        <v>193671.16186306669</v>
      </c>
      <c r="C153" s="8">
        <f t="shared" si="14"/>
        <v>758.54538396367786</v>
      </c>
      <c r="D153" s="8">
        <f t="shared" si="15"/>
        <v>797.36804435426427</v>
      </c>
      <c r="E153" s="2">
        <f t="shared" si="16"/>
        <v>0</v>
      </c>
      <c r="F153" s="1">
        <f t="shared" si="18"/>
        <v>192873.79381871244</v>
      </c>
      <c r="G153" s="1">
        <f t="shared" si="17"/>
        <v>758.54538396367786</v>
      </c>
      <c r="H153" s="4">
        <f t="shared" si="19"/>
        <v>0</v>
      </c>
    </row>
    <row r="154" spans="1:8" x14ac:dyDescent="0.25">
      <c r="A154">
        <v>147</v>
      </c>
      <c r="B154" s="1">
        <f t="shared" si="20"/>
        <v>192873.79381871244</v>
      </c>
      <c r="C154" s="8">
        <f t="shared" si="14"/>
        <v>755.42235912329033</v>
      </c>
      <c r="D154" s="8">
        <f t="shared" si="15"/>
        <v>800.4910691946518</v>
      </c>
      <c r="E154" s="2">
        <f t="shared" si="16"/>
        <v>500</v>
      </c>
      <c r="F154" s="1">
        <f t="shared" si="18"/>
        <v>191573.30274951778</v>
      </c>
      <c r="G154" s="1">
        <f t="shared" si="17"/>
        <v>755.42235912329033</v>
      </c>
      <c r="H154" s="4">
        <f t="shared" si="19"/>
        <v>0</v>
      </c>
    </row>
    <row r="155" spans="1:8" x14ac:dyDescent="0.25">
      <c r="A155">
        <v>148</v>
      </c>
      <c r="B155" s="1">
        <f t="shared" si="20"/>
        <v>191573.30274951778</v>
      </c>
      <c r="C155" s="8">
        <f t="shared" si="14"/>
        <v>750.32876910227799</v>
      </c>
      <c r="D155" s="8">
        <f t="shared" si="15"/>
        <v>805.58465921566415</v>
      </c>
      <c r="E155" s="2">
        <f t="shared" si="16"/>
        <v>0</v>
      </c>
      <c r="F155" s="1">
        <f t="shared" si="18"/>
        <v>190767.71809030211</v>
      </c>
      <c r="G155" s="1">
        <f t="shared" si="17"/>
        <v>750.32876910227799</v>
      </c>
      <c r="H155" s="4">
        <f t="shared" si="19"/>
        <v>0</v>
      </c>
    </row>
    <row r="156" spans="1:8" x14ac:dyDescent="0.25">
      <c r="A156">
        <v>149</v>
      </c>
      <c r="B156" s="1">
        <f t="shared" si="20"/>
        <v>190767.71809030211</v>
      </c>
      <c r="C156" s="8">
        <f t="shared" si="14"/>
        <v>747.17356252034995</v>
      </c>
      <c r="D156" s="8">
        <f t="shared" si="15"/>
        <v>808.73986579759219</v>
      </c>
      <c r="E156" s="2">
        <f t="shared" si="16"/>
        <v>0</v>
      </c>
      <c r="F156" s="1">
        <f t="shared" si="18"/>
        <v>189958.97822450451</v>
      </c>
      <c r="G156" s="1">
        <f t="shared" si="17"/>
        <v>747.17356252034995</v>
      </c>
      <c r="H156" s="4">
        <f t="shared" si="19"/>
        <v>0</v>
      </c>
    </row>
    <row r="157" spans="1:8" x14ac:dyDescent="0.25">
      <c r="A157">
        <v>150</v>
      </c>
      <c r="B157" s="1">
        <f t="shared" si="20"/>
        <v>189958.97822450451</v>
      </c>
      <c r="C157" s="8">
        <f t="shared" si="14"/>
        <v>744.00599804597596</v>
      </c>
      <c r="D157" s="8">
        <f t="shared" si="15"/>
        <v>811.90743027196618</v>
      </c>
      <c r="E157" s="2">
        <f t="shared" si="16"/>
        <v>500</v>
      </c>
      <c r="F157" s="1">
        <f t="shared" si="18"/>
        <v>188647.07079423254</v>
      </c>
      <c r="G157" s="1">
        <f t="shared" si="17"/>
        <v>744.00599804597596</v>
      </c>
      <c r="H157" s="4">
        <f t="shared" si="19"/>
        <v>0</v>
      </c>
    </row>
    <row r="158" spans="1:8" x14ac:dyDescent="0.25">
      <c r="A158">
        <v>151</v>
      </c>
      <c r="B158" s="1">
        <f t="shared" si="20"/>
        <v>188647.07079423254</v>
      </c>
      <c r="C158" s="8">
        <f t="shared" si="14"/>
        <v>738.86769394407747</v>
      </c>
      <c r="D158" s="8">
        <f t="shared" si="15"/>
        <v>817.04573437386466</v>
      </c>
      <c r="E158" s="2">
        <f t="shared" si="16"/>
        <v>0</v>
      </c>
      <c r="F158" s="1">
        <f t="shared" si="18"/>
        <v>187830.02505985869</v>
      </c>
      <c r="G158" s="1">
        <f t="shared" si="17"/>
        <v>738.86769394407747</v>
      </c>
      <c r="H158" s="4">
        <f t="shared" si="19"/>
        <v>0</v>
      </c>
    </row>
    <row r="159" spans="1:8" x14ac:dyDescent="0.25">
      <c r="A159">
        <v>152</v>
      </c>
      <c r="B159" s="1">
        <f t="shared" si="20"/>
        <v>187830.02505985869</v>
      </c>
      <c r="C159" s="8">
        <f t="shared" si="14"/>
        <v>735.66759815111311</v>
      </c>
      <c r="D159" s="8">
        <f t="shared" si="15"/>
        <v>820.24583016682902</v>
      </c>
      <c r="E159" s="2">
        <f t="shared" si="16"/>
        <v>0</v>
      </c>
      <c r="F159" s="1">
        <f t="shared" si="18"/>
        <v>187009.77922969186</v>
      </c>
      <c r="G159" s="1">
        <f t="shared" si="17"/>
        <v>735.66759815111311</v>
      </c>
      <c r="H159" s="4">
        <f t="shared" si="19"/>
        <v>0</v>
      </c>
    </row>
    <row r="160" spans="1:8" x14ac:dyDescent="0.25">
      <c r="A160">
        <v>153</v>
      </c>
      <c r="B160" s="1">
        <f t="shared" si="20"/>
        <v>187009.77922969186</v>
      </c>
      <c r="C160" s="8">
        <f t="shared" si="14"/>
        <v>732.45496864962649</v>
      </c>
      <c r="D160" s="8">
        <f t="shared" si="15"/>
        <v>823.45845966831564</v>
      </c>
      <c r="E160" s="2">
        <f t="shared" si="16"/>
        <v>500</v>
      </c>
      <c r="F160" s="1">
        <f t="shared" si="18"/>
        <v>185686.32077002354</v>
      </c>
      <c r="G160" s="1">
        <f t="shared" si="17"/>
        <v>732.45496864962649</v>
      </c>
      <c r="H160" s="4">
        <f t="shared" si="19"/>
        <v>0</v>
      </c>
    </row>
    <row r="161" spans="1:8" x14ac:dyDescent="0.25">
      <c r="A161">
        <v>154</v>
      </c>
      <c r="B161" s="1">
        <f t="shared" si="20"/>
        <v>185686.32077002354</v>
      </c>
      <c r="C161" s="8">
        <f t="shared" si="14"/>
        <v>727.27142301592551</v>
      </c>
      <c r="D161" s="8">
        <f t="shared" si="15"/>
        <v>828.64200530201663</v>
      </c>
      <c r="E161" s="2">
        <f t="shared" si="16"/>
        <v>0</v>
      </c>
      <c r="F161" s="1">
        <f t="shared" si="18"/>
        <v>184857.67876472152</v>
      </c>
      <c r="G161" s="1">
        <f t="shared" si="17"/>
        <v>727.27142301592551</v>
      </c>
      <c r="H161" s="4">
        <f t="shared" si="19"/>
        <v>0</v>
      </c>
    </row>
    <row r="162" spans="1:8" x14ac:dyDescent="0.25">
      <c r="A162">
        <v>155</v>
      </c>
      <c r="B162" s="1">
        <f t="shared" si="20"/>
        <v>184857.67876472152</v>
      </c>
      <c r="C162" s="8">
        <f t="shared" si="14"/>
        <v>724.02590849515934</v>
      </c>
      <c r="D162" s="8">
        <f t="shared" si="15"/>
        <v>831.88751982278279</v>
      </c>
      <c r="E162" s="2">
        <f t="shared" si="16"/>
        <v>0</v>
      </c>
      <c r="F162" s="1">
        <f t="shared" si="18"/>
        <v>184025.79124489875</v>
      </c>
      <c r="G162" s="1">
        <f t="shared" si="17"/>
        <v>724.02590849515934</v>
      </c>
      <c r="H162" s="4">
        <f t="shared" si="19"/>
        <v>0</v>
      </c>
    </row>
    <row r="163" spans="1:8" x14ac:dyDescent="0.25">
      <c r="A163">
        <v>156</v>
      </c>
      <c r="B163" s="1">
        <f t="shared" si="20"/>
        <v>184025.79124489875</v>
      </c>
      <c r="C163" s="8">
        <f t="shared" si="14"/>
        <v>720.76768237585338</v>
      </c>
      <c r="D163" s="8">
        <f t="shared" si="15"/>
        <v>835.14574594208875</v>
      </c>
      <c r="E163" s="2">
        <f t="shared" si="16"/>
        <v>500</v>
      </c>
      <c r="F163" s="1">
        <f t="shared" si="18"/>
        <v>182690.64549895667</v>
      </c>
      <c r="G163" s="1">
        <f t="shared" si="17"/>
        <v>720.76768237585338</v>
      </c>
      <c r="H163" s="4">
        <f t="shared" si="19"/>
        <v>0</v>
      </c>
    </row>
    <row r="164" spans="1:8" x14ac:dyDescent="0.25">
      <c r="A164">
        <v>157</v>
      </c>
      <c r="B164" s="1">
        <f t="shared" si="20"/>
        <v>182690.64549895667</v>
      </c>
      <c r="C164" s="8">
        <f t="shared" si="14"/>
        <v>715.53836153758027</v>
      </c>
      <c r="D164" s="8">
        <f t="shared" si="15"/>
        <v>840.37506678036186</v>
      </c>
      <c r="E164" s="2">
        <f t="shared" si="16"/>
        <v>0</v>
      </c>
      <c r="F164" s="1">
        <f t="shared" si="18"/>
        <v>181850.2704321763</v>
      </c>
      <c r="G164" s="1">
        <f t="shared" si="17"/>
        <v>715.53836153758027</v>
      </c>
      <c r="H164" s="4">
        <f t="shared" si="19"/>
        <v>0</v>
      </c>
    </row>
    <row r="165" spans="1:8" x14ac:dyDescent="0.25">
      <c r="A165">
        <v>158</v>
      </c>
      <c r="B165" s="1">
        <f t="shared" si="20"/>
        <v>181850.2704321763</v>
      </c>
      <c r="C165" s="8">
        <f t="shared" si="14"/>
        <v>712.24689252602377</v>
      </c>
      <c r="D165" s="8">
        <f t="shared" si="15"/>
        <v>843.66653579191836</v>
      </c>
      <c r="E165" s="2">
        <f t="shared" si="16"/>
        <v>0</v>
      </c>
      <c r="F165" s="1">
        <f t="shared" si="18"/>
        <v>181006.60389638439</v>
      </c>
      <c r="G165" s="1">
        <f t="shared" si="17"/>
        <v>712.24689252602377</v>
      </c>
      <c r="H165" s="4">
        <f t="shared" si="19"/>
        <v>0</v>
      </c>
    </row>
    <row r="166" spans="1:8" x14ac:dyDescent="0.25">
      <c r="A166">
        <v>159</v>
      </c>
      <c r="B166" s="1">
        <f t="shared" si="20"/>
        <v>181006.60389638439</v>
      </c>
      <c r="C166" s="8">
        <f t="shared" si="14"/>
        <v>708.94253192750557</v>
      </c>
      <c r="D166" s="8">
        <f t="shared" si="15"/>
        <v>846.97089639043656</v>
      </c>
      <c r="E166" s="2">
        <f t="shared" si="16"/>
        <v>500</v>
      </c>
      <c r="F166" s="1">
        <f t="shared" si="18"/>
        <v>179659.63299999395</v>
      </c>
      <c r="G166" s="1">
        <f t="shared" si="17"/>
        <v>708.94253192750557</v>
      </c>
      <c r="H166" s="4">
        <f t="shared" si="19"/>
        <v>0</v>
      </c>
    </row>
    <row r="167" spans="1:8" x14ac:dyDescent="0.25">
      <c r="A167">
        <v>160</v>
      </c>
      <c r="B167" s="1">
        <f t="shared" si="20"/>
        <v>179659.63299999395</v>
      </c>
      <c r="C167" s="8">
        <f t="shared" si="14"/>
        <v>703.66689591664306</v>
      </c>
      <c r="D167" s="8">
        <f t="shared" si="15"/>
        <v>852.24653240129908</v>
      </c>
      <c r="E167" s="2">
        <f t="shared" si="16"/>
        <v>0</v>
      </c>
      <c r="F167" s="1">
        <f t="shared" si="18"/>
        <v>178807.38646759265</v>
      </c>
      <c r="G167" s="1">
        <f t="shared" si="17"/>
        <v>703.66689591664306</v>
      </c>
      <c r="H167" s="4">
        <f t="shared" si="19"/>
        <v>0</v>
      </c>
    </row>
    <row r="168" spans="1:8" x14ac:dyDescent="0.25">
      <c r="A168">
        <v>161</v>
      </c>
      <c r="B168" s="1">
        <f t="shared" si="20"/>
        <v>178807.38646759265</v>
      </c>
      <c r="C168" s="8">
        <f t="shared" si="14"/>
        <v>700.32893033140454</v>
      </c>
      <c r="D168" s="8">
        <f t="shared" si="15"/>
        <v>855.5844979865376</v>
      </c>
      <c r="E168" s="2">
        <f t="shared" si="16"/>
        <v>0</v>
      </c>
      <c r="F168" s="1">
        <f t="shared" si="18"/>
        <v>177951.80196960611</v>
      </c>
      <c r="G168" s="1">
        <f t="shared" si="17"/>
        <v>700.32893033140454</v>
      </c>
      <c r="H168" s="4">
        <f t="shared" si="19"/>
        <v>0</v>
      </c>
    </row>
    <row r="169" spans="1:8" x14ac:dyDescent="0.25">
      <c r="A169">
        <v>162</v>
      </c>
      <c r="B169" s="1">
        <f t="shared" si="20"/>
        <v>177951.80196960611</v>
      </c>
      <c r="C169" s="8">
        <f t="shared" si="14"/>
        <v>696.97789104762387</v>
      </c>
      <c r="D169" s="8">
        <f t="shared" si="15"/>
        <v>858.93553727031826</v>
      </c>
      <c r="E169" s="2">
        <f t="shared" si="16"/>
        <v>500</v>
      </c>
      <c r="F169" s="1">
        <f t="shared" si="18"/>
        <v>176592.86643233578</v>
      </c>
      <c r="G169" s="1">
        <f t="shared" si="17"/>
        <v>696.97789104762387</v>
      </c>
      <c r="H169" s="4">
        <f t="shared" si="19"/>
        <v>0</v>
      </c>
    </row>
    <row r="170" spans="1:8" x14ac:dyDescent="0.25">
      <c r="A170">
        <v>163</v>
      </c>
      <c r="B170" s="1">
        <f t="shared" si="20"/>
        <v>176592.86643233578</v>
      </c>
      <c r="C170" s="8">
        <f t="shared" si="14"/>
        <v>691.65539352664848</v>
      </c>
      <c r="D170" s="8">
        <f t="shared" si="15"/>
        <v>864.25803479129365</v>
      </c>
      <c r="E170" s="2">
        <f t="shared" si="16"/>
        <v>0</v>
      </c>
      <c r="F170" s="1">
        <f t="shared" si="18"/>
        <v>175728.60839754448</v>
      </c>
      <c r="G170" s="1">
        <f t="shared" si="17"/>
        <v>691.65539352664848</v>
      </c>
      <c r="H170" s="4">
        <f t="shared" si="19"/>
        <v>0</v>
      </c>
    </row>
    <row r="171" spans="1:8" x14ac:dyDescent="0.25">
      <c r="A171">
        <v>164</v>
      </c>
      <c r="B171" s="1">
        <f t="shared" si="20"/>
        <v>175728.60839754448</v>
      </c>
      <c r="C171" s="8">
        <f t="shared" si="14"/>
        <v>688.27038289038262</v>
      </c>
      <c r="D171" s="8">
        <f t="shared" si="15"/>
        <v>867.64304542755951</v>
      </c>
      <c r="E171" s="2">
        <f t="shared" si="16"/>
        <v>0</v>
      </c>
      <c r="F171" s="1">
        <f t="shared" si="18"/>
        <v>174860.96535211691</v>
      </c>
      <c r="G171" s="1">
        <f t="shared" si="17"/>
        <v>688.27038289038262</v>
      </c>
      <c r="H171" s="4">
        <f t="shared" si="19"/>
        <v>0</v>
      </c>
    </row>
    <row r="172" spans="1:8" x14ac:dyDescent="0.25">
      <c r="A172">
        <v>165</v>
      </c>
      <c r="B172" s="1">
        <f t="shared" si="20"/>
        <v>174860.96535211691</v>
      </c>
      <c r="C172" s="8">
        <f t="shared" si="14"/>
        <v>684.87211429579122</v>
      </c>
      <c r="D172" s="8">
        <f t="shared" si="15"/>
        <v>871.04131402215091</v>
      </c>
      <c r="E172" s="2">
        <f t="shared" si="16"/>
        <v>500</v>
      </c>
      <c r="F172" s="1">
        <f t="shared" si="18"/>
        <v>173489.92403809476</v>
      </c>
      <c r="G172" s="1">
        <f t="shared" si="17"/>
        <v>684.87211429579122</v>
      </c>
      <c r="H172" s="4">
        <f t="shared" si="19"/>
        <v>0</v>
      </c>
    </row>
    <row r="173" spans="1:8" x14ac:dyDescent="0.25">
      <c r="A173">
        <v>166</v>
      </c>
      <c r="B173" s="1">
        <f t="shared" si="20"/>
        <v>173489.92403809476</v>
      </c>
      <c r="C173" s="8">
        <f t="shared" si="14"/>
        <v>679.50220248253788</v>
      </c>
      <c r="D173" s="8">
        <f t="shared" si="15"/>
        <v>876.41122583540425</v>
      </c>
      <c r="E173" s="2">
        <f t="shared" si="16"/>
        <v>0</v>
      </c>
      <c r="F173" s="1">
        <f t="shared" si="18"/>
        <v>172613.51281225935</v>
      </c>
      <c r="G173" s="1">
        <f t="shared" si="17"/>
        <v>679.50220248253788</v>
      </c>
      <c r="H173" s="4">
        <f t="shared" si="19"/>
        <v>0</v>
      </c>
    </row>
    <row r="174" spans="1:8" x14ac:dyDescent="0.25">
      <c r="A174">
        <v>167</v>
      </c>
      <c r="B174" s="1">
        <f t="shared" si="20"/>
        <v>172613.51281225935</v>
      </c>
      <c r="C174" s="8">
        <f t="shared" si="14"/>
        <v>676.06959184801576</v>
      </c>
      <c r="D174" s="8">
        <f t="shared" si="15"/>
        <v>879.84383646992637</v>
      </c>
      <c r="E174" s="2">
        <f t="shared" si="16"/>
        <v>0</v>
      </c>
      <c r="F174" s="1">
        <f t="shared" si="18"/>
        <v>171733.66897578942</v>
      </c>
      <c r="G174" s="1">
        <f t="shared" si="17"/>
        <v>676.06959184801576</v>
      </c>
      <c r="H174" s="4">
        <f t="shared" si="19"/>
        <v>0</v>
      </c>
    </row>
    <row r="175" spans="1:8" x14ac:dyDescent="0.25">
      <c r="A175">
        <v>168</v>
      </c>
      <c r="B175" s="1">
        <f t="shared" si="20"/>
        <v>171733.66897578942</v>
      </c>
      <c r="C175" s="8">
        <f t="shared" si="14"/>
        <v>672.62353682184187</v>
      </c>
      <c r="D175" s="8">
        <f t="shared" si="15"/>
        <v>883.28989149610027</v>
      </c>
      <c r="E175" s="2">
        <f t="shared" si="16"/>
        <v>500</v>
      </c>
      <c r="F175" s="1">
        <f t="shared" si="18"/>
        <v>170350.37908429332</v>
      </c>
      <c r="G175" s="1">
        <f t="shared" si="17"/>
        <v>672.62353682184187</v>
      </c>
      <c r="H175" s="4">
        <f t="shared" si="19"/>
        <v>0</v>
      </c>
    </row>
    <row r="176" spans="1:8" x14ac:dyDescent="0.25">
      <c r="A176">
        <v>169</v>
      </c>
      <c r="B176" s="1">
        <f t="shared" si="20"/>
        <v>170350.37908429332</v>
      </c>
      <c r="C176" s="8">
        <f t="shared" si="14"/>
        <v>667.2056514134822</v>
      </c>
      <c r="D176" s="8">
        <f t="shared" si="15"/>
        <v>888.70777690445993</v>
      </c>
      <c r="E176" s="2">
        <f t="shared" si="16"/>
        <v>0</v>
      </c>
      <c r="F176" s="1">
        <f t="shared" si="18"/>
        <v>169461.67130738887</v>
      </c>
      <c r="G176" s="1">
        <f t="shared" si="17"/>
        <v>667.2056514134822</v>
      </c>
      <c r="H176" s="4">
        <f t="shared" si="19"/>
        <v>0</v>
      </c>
    </row>
    <row r="177" spans="1:8" x14ac:dyDescent="0.25">
      <c r="A177">
        <v>170</v>
      </c>
      <c r="B177" s="1">
        <f t="shared" si="20"/>
        <v>169461.67130738887</v>
      </c>
      <c r="C177" s="8">
        <f t="shared" si="14"/>
        <v>663.7248792872731</v>
      </c>
      <c r="D177" s="8">
        <f t="shared" si="15"/>
        <v>892.18854903066904</v>
      </c>
      <c r="E177" s="2">
        <f t="shared" si="16"/>
        <v>0</v>
      </c>
      <c r="F177" s="1">
        <f t="shared" si="18"/>
        <v>168569.48275835821</v>
      </c>
      <c r="G177" s="1">
        <f t="shared" si="17"/>
        <v>663.7248792872731</v>
      </c>
      <c r="H177" s="4">
        <f t="shared" si="19"/>
        <v>0</v>
      </c>
    </row>
    <row r="178" spans="1:8" x14ac:dyDescent="0.25">
      <c r="A178">
        <v>171</v>
      </c>
      <c r="B178" s="1">
        <f t="shared" si="20"/>
        <v>168569.48275835821</v>
      </c>
      <c r="C178" s="8">
        <f t="shared" si="14"/>
        <v>660.23047413690301</v>
      </c>
      <c r="D178" s="8">
        <f t="shared" si="15"/>
        <v>895.68295418103912</v>
      </c>
      <c r="E178" s="2">
        <f t="shared" si="16"/>
        <v>500</v>
      </c>
      <c r="F178" s="1">
        <f t="shared" si="18"/>
        <v>167173.79980417716</v>
      </c>
      <c r="G178" s="1">
        <f t="shared" si="17"/>
        <v>660.23047413690301</v>
      </c>
      <c r="H178" s="4">
        <f t="shared" si="19"/>
        <v>0</v>
      </c>
    </row>
    <row r="179" spans="1:8" x14ac:dyDescent="0.25">
      <c r="A179">
        <v>172</v>
      </c>
      <c r="B179" s="1">
        <f t="shared" si="20"/>
        <v>167173.79980417716</v>
      </c>
      <c r="C179" s="8">
        <f t="shared" si="14"/>
        <v>654.76404923302721</v>
      </c>
      <c r="D179" s="8">
        <f t="shared" si="15"/>
        <v>901.14937908491493</v>
      </c>
      <c r="E179" s="2">
        <f t="shared" si="16"/>
        <v>0</v>
      </c>
      <c r="F179" s="1">
        <f t="shared" si="18"/>
        <v>166272.65042509226</v>
      </c>
      <c r="G179" s="1">
        <f t="shared" si="17"/>
        <v>654.76404923302721</v>
      </c>
      <c r="H179" s="4">
        <f t="shared" si="19"/>
        <v>0</v>
      </c>
    </row>
    <row r="180" spans="1:8" x14ac:dyDescent="0.25">
      <c r="A180">
        <v>173</v>
      </c>
      <c r="B180" s="1">
        <f t="shared" si="20"/>
        <v>166272.65042509226</v>
      </c>
      <c r="C180" s="8">
        <f t="shared" si="14"/>
        <v>651.23454749827795</v>
      </c>
      <c r="D180" s="8">
        <f t="shared" si="15"/>
        <v>904.67888081966419</v>
      </c>
      <c r="E180" s="2">
        <f t="shared" si="16"/>
        <v>0</v>
      </c>
      <c r="F180" s="1">
        <f t="shared" si="18"/>
        <v>165367.97154427259</v>
      </c>
      <c r="G180" s="1">
        <f t="shared" si="17"/>
        <v>651.23454749827795</v>
      </c>
      <c r="H180" s="4">
        <f t="shared" si="19"/>
        <v>0</v>
      </c>
    </row>
    <row r="181" spans="1:8" x14ac:dyDescent="0.25">
      <c r="A181">
        <v>174</v>
      </c>
      <c r="B181" s="1">
        <f t="shared" si="20"/>
        <v>165367.97154427259</v>
      </c>
      <c r="C181" s="8">
        <f t="shared" si="14"/>
        <v>647.69122188173435</v>
      </c>
      <c r="D181" s="8">
        <f t="shared" si="15"/>
        <v>908.22220643620778</v>
      </c>
      <c r="E181" s="2">
        <f t="shared" si="16"/>
        <v>500</v>
      </c>
      <c r="F181" s="1">
        <f t="shared" si="18"/>
        <v>163959.74933783637</v>
      </c>
      <c r="G181" s="1">
        <f t="shared" si="17"/>
        <v>647.69122188173435</v>
      </c>
      <c r="H181" s="4">
        <f t="shared" si="19"/>
        <v>0</v>
      </c>
    </row>
    <row r="182" spans="1:8" x14ac:dyDescent="0.25">
      <c r="A182">
        <v>175</v>
      </c>
      <c r="B182" s="1">
        <f t="shared" si="20"/>
        <v>163959.74933783637</v>
      </c>
      <c r="C182" s="8">
        <f t="shared" si="14"/>
        <v>642.17568490652582</v>
      </c>
      <c r="D182" s="8">
        <f t="shared" si="15"/>
        <v>913.73774341141632</v>
      </c>
      <c r="E182" s="2">
        <f t="shared" si="16"/>
        <v>0</v>
      </c>
      <c r="F182" s="1">
        <f t="shared" si="18"/>
        <v>163046.01159442496</v>
      </c>
      <c r="G182" s="1">
        <f t="shared" si="17"/>
        <v>642.17568490652582</v>
      </c>
      <c r="H182" s="4">
        <f t="shared" si="19"/>
        <v>0</v>
      </c>
    </row>
    <row r="183" spans="1:8" x14ac:dyDescent="0.25">
      <c r="A183">
        <v>176</v>
      </c>
      <c r="B183" s="1">
        <f t="shared" si="20"/>
        <v>163046.01159442496</v>
      </c>
      <c r="C183" s="8">
        <f t="shared" si="14"/>
        <v>638.59687874483109</v>
      </c>
      <c r="D183" s="8">
        <f t="shared" si="15"/>
        <v>917.31654957311105</v>
      </c>
      <c r="E183" s="2">
        <f t="shared" si="16"/>
        <v>0</v>
      </c>
      <c r="F183" s="1">
        <f t="shared" si="18"/>
        <v>162128.69504485183</v>
      </c>
      <c r="G183" s="1">
        <f t="shared" si="17"/>
        <v>638.59687874483109</v>
      </c>
      <c r="H183" s="4">
        <f t="shared" si="19"/>
        <v>0</v>
      </c>
    </row>
    <row r="184" spans="1:8" x14ac:dyDescent="0.25">
      <c r="A184">
        <v>177</v>
      </c>
      <c r="B184" s="1">
        <f t="shared" si="20"/>
        <v>162128.69504485183</v>
      </c>
      <c r="C184" s="8">
        <f t="shared" si="14"/>
        <v>635.00405559233639</v>
      </c>
      <c r="D184" s="8">
        <f t="shared" si="15"/>
        <v>920.90937272560575</v>
      </c>
      <c r="E184" s="2">
        <f t="shared" si="16"/>
        <v>500</v>
      </c>
      <c r="F184" s="1">
        <f t="shared" si="18"/>
        <v>160707.78567212622</v>
      </c>
      <c r="G184" s="1">
        <f t="shared" si="17"/>
        <v>635.00405559233639</v>
      </c>
      <c r="H184" s="4">
        <f t="shared" si="19"/>
        <v>0</v>
      </c>
    </row>
    <row r="185" spans="1:8" x14ac:dyDescent="0.25">
      <c r="A185">
        <v>178</v>
      </c>
      <c r="B185" s="1">
        <f t="shared" si="20"/>
        <v>160707.78567212622</v>
      </c>
      <c r="C185" s="8">
        <f t="shared" si="14"/>
        <v>629.4388272158277</v>
      </c>
      <c r="D185" s="8">
        <f t="shared" si="15"/>
        <v>926.47460110211443</v>
      </c>
      <c r="E185" s="2">
        <f t="shared" si="16"/>
        <v>0</v>
      </c>
      <c r="F185" s="1">
        <f t="shared" si="18"/>
        <v>159781.3110710241</v>
      </c>
      <c r="G185" s="1">
        <f t="shared" si="17"/>
        <v>629.4388272158277</v>
      </c>
      <c r="H185" s="4">
        <f t="shared" si="19"/>
        <v>0</v>
      </c>
    </row>
    <row r="186" spans="1:8" x14ac:dyDescent="0.25">
      <c r="A186">
        <v>179</v>
      </c>
      <c r="B186" s="1">
        <f t="shared" si="20"/>
        <v>159781.3110710241</v>
      </c>
      <c r="C186" s="8">
        <f t="shared" si="14"/>
        <v>625.8101350281778</v>
      </c>
      <c r="D186" s="8">
        <f t="shared" si="15"/>
        <v>930.10329328976434</v>
      </c>
      <c r="E186" s="2">
        <f t="shared" si="16"/>
        <v>0</v>
      </c>
      <c r="F186" s="1">
        <f t="shared" si="18"/>
        <v>158851.20777773435</v>
      </c>
      <c r="G186" s="1">
        <f t="shared" si="17"/>
        <v>625.8101350281778</v>
      </c>
      <c r="H186" s="4">
        <f t="shared" si="19"/>
        <v>0</v>
      </c>
    </row>
    <row r="187" spans="1:8" x14ac:dyDescent="0.25">
      <c r="A187">
        <v>180</v>
      </c>
      <c r="B187" s="1">
        <f t="shared" si="20"/>
        <v>158851.20777773435</v>
      </c>
      <c r="C187" s="8">
        <f t="shared" si="14"/>
        <v>622.16723046279287</v>
      </c>
      <c r="D187" s="8">
        <f t="shared" si="15"/>
        <v>933.74619785514926</v>
      </c>
      <c r="E187" s="2">
        <f t="shared" si="16"/>
        <v>500</v>
      </c>
      <c r="F187" s="1">
        <f t="shared" si="18"/>
        <v>157417.46157987919</v>
      </c>
      <c r="G187" s="1">
        <f t="shared" si="17"/>
        <v>622.16723046279287</v>
      </c>
      <c r="H187" s="4">
        <f t="shared" si="19"/>
        <v>0</v>
      </c>
    </row>
    <row r="188" spans="1:8" x14ac:dyDescent="0.25">
      <c r="A188">
        <v>181</v>
      </c>
      <c r="B188" s="1">
        <f t="shared" si="20"/>
        <v>157417.46157987919</v>
      </c>
      <c r="C188" s="8">
        <f t="shared" si="14"/>
        <v>616.55172452119348</v>
      </c>
      <c r="D188" s="8">
        <f t="shared" si="15"/>
        <v>939.36170379674866</v>
      </c>
      <c r="E188" s="2">
        <f t="shared" si="16"/>
        <v>0</v>
      </c>
      <c r="F188" s="1">
        <f t="shared" si="18"/>
        <v>156478.09987608244</v>
      </c>
      <c r="G188" s="1">
        <f t="shared" si="17"/>
        <v>616.55172452119348</v>
      </c>
      <c r="H188" s="4">
        <f t="shared" si="19"/>
        <v>0</v>
      </c>
    </row>
    <row r="189" spans="1:8" x14ac:dyDescent="0.25">
      <c r="A189">
        <v>182</v>
      </c>
      <c r="B189" s="1">
        <f t="shared" si="20"/>
        <v>156478.09987608244</v>
      </c>
      <c r="C189" s="8">
        <f t="shared" si="14"/>
        <v>612.87255784798958</v>
      </c>
      <c r="D189" s="8">
        <f t="shared" si="15"/>
        <v>943.04087046995255</v>
      </c>
      <c r="E189" s="2">
        <f t="shared" si="16"/>
        <v>0</v>
      </c>
      <c r="F189" s="1">
        <f t="shared" si="18"/>
        <v>155535.05900561248</v>
      </c>
      <c r="G189" s="1">
        <f t="shared" si="17"/>
        <v>612.87255784798958</v>
      </c>
      <c r="H189" s="4">
        <f t="shared" si="19"/>
        <v>0</v>
      </c>
    </row>
    <row r="190" spans="1:8" x14ac:dyDescent="0.25">
      <c r="A190">
        <v>183</v>
      </c>
      <c r="B190" s="1">
        <f t="shared" si="20"/>
        <v>155535.05900561248</v>
      </c>
      <c r="C190" s="8">
        <f t="shared" si="14"/>
        <v>609.17898110531553</v>
      </c>
      <c r="D190" s="8">
        <f t="shared" si="15"/>
        <v>946.73444721262661</v>
      </c>
      <c r="E190" s="2">
        <f t="shared" si="16"/>
        <v>500</v>
      </c>
      <c r="F190" s="1">
        <f t="shared" si="18"/>
        <v>154088.32455839985</v>
      </c>
      <c r="G190" s="1">
        <f t="shared" si="17"/>
        <v>609.17898110531553</v>
      </c>
      <c r="H190" s="4">
        <f t="shared" si="19"/>
        <v>0</v>
      </c>
    </row>
    <row r="191" spans="1:8" x14ac:dyDescent="0.25">
      <c r="A191">
        <v>184</v>
      </c>
      <c r="B191" s="1">
        <f t="shared" si="20"/>
        <v>154088.32455839985</v>
      </c>
      <c r="C191" s="8">
        <f t="shared" si="14"/>
        <v>603.51260452039935</v>
      </c>
      <c r="D191" s="8">
        <f t="shared" si="15"/>
        <v>952.40082379754278</v>
      </c>
      <c r="E191" s="2">
        <f t="shared" si="16"/>
        <v>0</v>
      </c>
      <c r="F191" s="1">
        <f t="shared" si="18"/>
        <v>153135.92373460231</v>
      </c>
      <c r="G191" s="1">
        <f t="shared" si="17"/>
        <v>603.51260452039935</v>
      </c>
      <c r="H191" s="4">
        <f t="shared" si="19"/>
        <v>0</v>
      </c>
    </row>
    <row r="192" spans="1:8" x14ac:dyDescent="0.25">
      <c r="A192">
        <v>185</v>
      </c>
      <c r="B192" s="1">
        <f t="shared" si="20"/>
        <v>153135.92373460231</v>
      </c>
      <c r="C192" s="8">
        <f t="shared" si="14"/>
        <v>599.78236796052568</v>
      </c>
      <c r="D192" s="8">
        <f t="shared" si="15"/>
        <v>956.13106035741646</v>
      </c>
      <c r="E192" s="2">
        <f t="shared" si="16"/>
        <v>0</v>
      </c>
      <c r="F192" s="1">
        <f t="shared" si="18"/>
        <v>152179.79267424491</v>
      </c>
      <c r="G192" s="1">
        <f t="shared" si="17"/>
        <v>599.78236796052568</v>
      </c>
      <c r="H192" s="4">
        <f t="shared" si="19"/>
        <v>0</v>
      </c>
    </row>
    <row r="193" spans="1:8" x14ac:dyDescent="0.25">
      <c r="A193">
        <v>186</v>
      </c>
      <c r="B193" s="1">
        <f t="shared" si="20"/>
        <v>152179.79267424491</v>
      </c>
      <c r="C193" s="8">
        <f t="shared" si="14"/>
        <v>596.0375213074592</v>
      </c>
      <c r="D193" s="8">
        <f t="shared" si="15"/>
        <v>959.87590701048293</v>
      </c>
      <c r="E193" s="2">
        <f t="shared" si="16"/>
        <v>500</v>
      </c>
      <c r="F193" s="1">
        <f t="shared" si="18"/>
        <v>150719.91676723442</v>
      </c>
      <c r="G193" s="1">
        <f t="shared" si="17"/>
        <v>596.0375213074592</v>
      </c>
      <c r="H193" s="4">
        <f t="shared" si="19"/>
        <v>0</v>
      </c>
    </row>
    <row r="194" spans="1:8" x14ac:dyDescent="0.25">
      <c r="A194">
        <v>187</v>
      </c>
      <c r="B194" s="1">
        <f t="shared" si="20"/>
        <v>150719.91676723442</v>
      </c>
      <c r="C194" s="8">
        <f t="shared" si="14"/>
        <v>590.3196740050015</v>
      </c>
      <c r="D194" s="8">
        <f t="shared" si="15"/>
        <v>965.59375431294063</v>
      </c>
      <c r="E194" s="2">
        <f t="shared" si="16"/>
        <v>0</v>
      </c>
      <c r="F194" s="1">
        <f t="shared" si="18"/>
        <v>149754.32301292146</v>
      </c>
      <c r="G194" s="1">
        <f t="shared" si="17"/>
        <v>590.3196740050015</v>
      </c>
      <c r="H194" s="4">
        <f t="shared" si="19"/>
        <v>0</v>
      </c>
    </row>
    <row r="195" spans="1:8" x14ac:dyDescent="0.25">
      <c r="A195">
        <v>188</v>
      </c>
      <c r="B195" s="1">
        <f t="shared" si="20"/>
        <v>149754.32301292146</v>
      </c>
      <c r="C195" s="8">
        <f t="shared" si="14"/>
        <v>586.53776513394234</v>
      </c>
      <c r="D195" s="8">
        <f t="shared" si="15"/>
        <v>969.37566318399979</v>
      </c>
      <c r="E195" s="2">
        <f t="shared" si="16"/>
        <v>0</v>
      </c>
      <c r="F195" s="1">
        <f t="shared" si="18"/>
        <v>148784.94734973746</v>
      </c>
      <c r="G195" s="1">
        <f t="shared" si="17"/>
        <v>586.53776513394234</v>
      </c>
      <c r="H195" s="4">
        <f t="shared" si="19"/>
        <v>0</v>
      </c>
    </row>
    <row r="196" spans="1:8" x14ac:dyDescent="0.25">
      <c r="A196">
        <v>189</v>
      </c>
      <c r="B196" s="1">
        <f t="shared" si="20"/>
        <v>148784.94734973746</v>
      </c>
      <c r="C196" s="8">
        <f t="shared" si="14"/>
        <v>582.74104378647178</v>
      </c>
      <c r="D196" s="8">
        <f t="shared" si="15"/>
        <v>973.17238453147036</v>
      </c>
      <c r="E196" s="2">
        <f t="shared" si="16"/>
        <v>500</v>
      </c>
      <c r="F196" s="1">
        <f t="shared" si="18"/>
        <v>147311.77496520599</v>
      </c>
      <c r="G196" s="1">
        <f t="shared" si="17"/>
        <v>582.74104378647178</v>
      </c>
      <c r="H196" s="4">
        <f t="shared" si="19"/>
        <v>0</v>
      </c>
    </row>
    <row r="197" spans="1:8" x14ac:dyDescent="0.25">
      <c r="A197">
        <v>190</v>
      </c>
      <c r="B197" s="1">
        <f t="shared" si="20"/>
        <v>147311.77496520599</v>
      </c>
      <c r="C197" s="8">
        <f t="shared" si="14"/>
        <v>576.97111861372343</v>
      </c>
      <c r="D197" s="8">
        <f t="shared" si="15"/>
        <v>978.9423097042187</v>
      </c>
      <c r="E197" s="2">
        <f t="shared" si="16"/>
        <v>0</v>
      </c>
      <c r="F197" s="1">
        <f t="shared" si="18"/>
        <v>146332.83265550176</v>
      </c>
      <c r="G197" s="1">
        <f t="shared" si="17"/>
        <v>576.97111861372343</v>
      </c>
      <c r="H197" s="4">
        <f t="shared" si="19"/>
        <v>0</v>
      </c>
    </row>
    <row r="198" spans="1:8" x14ac:dyDescent="0.25">
      <c r="A198">
        <v>191</v>
      </c>
      <c r="B198" s="1">
        <f t="shared" si="20"/>
        <v>146332.83265550176</v>
      </c>
      <c r="C198" s="8">
        <f t="shared" si="14"/>
        <v>573.13692790071525</v>
      </c>
      <c r="D198" s="8">
        <f t="shared" si="15"/>
        <v>982.77650041722688</v>
      </c>
      <c r="E198" s="2">
        <f t="shared" si="16"/>
        <v>0</v>
      </c>
      <c r="F198" s="1">
        <f t="shared" si="18"/>
        <v>145350.05615508452</v>
      </c>
      <c r="G198" s="1">
        <f t="shared" si="17"/>
        <v>573.13692790071525</v>
      </c>
      <c r="H198" s="4">
        <f t="shared" si="19"/>
        <v>0</v>
      </c>
    </row>
    <row r="199" spans="1:8" x14ac:dyDescent="0.25">
      <c r="A199">
        <v>192</v>
      </c>
      <c r="B199" s="1">
        <f t="shared" si="20"/>
        <v>145350.05615508452</v>
      </c>
      <c r="C199" s="8">
        <f t="shared" si="14"/>
        <v>569.28771994074771</v>
      </c>
      <c r="D199" s="8">
        <f t="shared" si="15"/>
        <v>986.62570837719443</v>
      </c>
      <c r="E199" s="2">
        <f t="shared" si="16"/>
        <v>500</v>
      </c>
      <c r="F199" s="1">
        <f t="shared" si="18"/>
        <v>143863.43044670732</v>
      </c>
      <c r="G199" s="1">
        <f t="shared" si="17"/>
        <v>569.28771994074771</v>
      </c>
      <c r="H199" s="4">
        <f t="shared" si="19"/>
        <v>0</v>
      </c>
    </row>
    <row r="200" spans="1:8" x14ac:dyDescent="0.25">
      <c r="A200">
        <v>193</v>
      </c>
      <c r="B200" s="1">
        <f t="shared" si="20"/>
        <v>143863.43044670732</v>
      </c>
      <c r="C200" s="8">
        <f t="shared" ref="C200:C263" si="21">B200*int/12</f>
        <v>563.46510258293699</v>
      </c>
      <c r="D200" s="8">
        <f t="shared" ref="D200:D263" si="22">pmt-C200</f>
        <v>992.44832573500514</v>
      </c>
      <c r="E200" s="2">
        <f t="shared" ref="E200:E263" si="23">IFERROR(IF(MOD(A200,interval)=0,extrapmt,0),0)</f>
        <v>0</v>
      </c>
      <c r="F200" s="1">
        <f t="shared" si="18"/>
        <v>142870.98212097233</v>
      </c>
      <c r="G200" s="1">
        <f t="shared" ref="G200:G263" si="24">B200*int/12</f>
        <v>563.46510258293699</v>
      </c>
      <c r="H200" s="4">
        <f t="shared" si="19"/>
        <v>0</v>
      </c>
    </row>
    <row r="201" spans="1:8" x14ac:dyDescent="0.25">
      <c r="A201">
        <v>194</v>
      </c>
      <c r="B201" s="1">
        <f t="shared" si="20"/>
        <v>142870.98212097233</v>
      </c>
      <c r="C201" s="8">
        <f t="shared" si="21"/>
        <v>559.57801330714165</v>
      </c>
      <c r="D201" s="8">
        <f t="shared" si="22"/>
        <v>996.33541501080049</v>
      </c>
      <c r="E201" s="2">
        <f t="shared" si="23"/>
        <v>0</v>
      </c>
      <c r="F201" s="1">
        <f t="shared" ref="F201:F264" si="25">IF(B201-D201-E201&lt;0,0,B201-D201-E201)</f>
        <v>141874.64670596152</v>
      </c>
      <c r="G201" s="1">
        <f t="shared" si="24"/>
        <v>559.57801330714165</v>
      </c>
      <c r="H201" s="4">
        <f t="shared" ref="H201:H264" si="26">(F201&gt;0)*(F202=0)</f>
        <v>0</v>
      </c>
    </row>
    <row r="202" spans="1:8" x14ac:dyDescent="0.25">
      <c r="A202">
        <v>195</v>
      </c>
      <c r="B202" s="1">
        <f t="shared" si="20"/>
        <v>141874.64670596152</v>
      </c>
      <c r="C202" s="8">
        <f t="shared" si="21"/>
        <v>555.6756995983493</v>
      </c>
      <c r="D202" s="8">
        <f t="shared" si="22"/>
        <v>1000.2377287195928</v>
      </c>
      <c r="E202" s="2">
        <f t="shared" si="23"/>
        <v>500</v>
      </c>
      <c r="F202" s="1">
        <f t="shared" si="25"/>
        <v>140374.40897724192</v>
      </c>
      <c r="G202" s="1">
        <f t="shared" si="24"/>
        <v>555.6756995983493</v>
      </c>
      <c r="H202" s="4">
        <f t="shared" si="26"/>
        <v>0</v>
      </c>
    </row>
    <row r="203" spans="1:8" x14ac:dyDescent="0.25">
      <c r="A203">
        <v>196</v>
      </c>
      <c r="B203" s="1">
        <f t="shared" ref="B203:B266" si="27">F202</f>
        <v>140374.40897724192</v>
      </c>
      <c r="C203" s="8">
        <f t="shared" si="21"/>
        <v>549.79976849419756</v>
      </c>
      <c r="D203" s="8">
        <f t="shared" si="22"/>
        <v>1006.1136598237446</v>
      </c>
      <c r="E203" s="2">
        <f t="shared" si="23"/>
        <v>0</v>
      </c>
      <c r="F203" s="1">
        <f t="shared" si="25"/>
        <v>139368.29531741817</v>
      </c>
      <c r="G203" s="1">
        <f t="shared" si="24"/>
        <v>549.79976849419756</v>
      </c>
      <c r="H203" s="4">
        <f t="shared" si="26"/>
        <v>0</v>
      </c>
    </row>
    <row r="204" spans="1:8" x14ac:dyDescent="0.25">
      <c r="A204">
        <v>197</v>
      </c>
      <c r="B204" s="1">
        <f t="shared" si="27"/>
        <v>139368.29531741817</v>
      </c>
      <c r="C204" s="8">
        <f t="shared" si="21"/>
        <v>545.85915665988784</v>
      </c>
      <c r="D204" s="8">
        <f t="shared" si="22"/>
        <v>1010.0542716580543</v>
      </c>
      <c r="E204" s="2">
        <f t="shared" si="23"/>
        <v>0</v>
      </c>
      <c r="F204" s="1">
        <f t="shared" si="25"/>
        <v>138358.24104576011</v>
      </c>
      <c r="G204" s="1">
        <f t="shared" si="24"/>
        <v>545.85915665988784</v>
      </c>
      <c r="H204" s="4">
        <f t="shared" si="26"/>
        <v>0</v>
      </c>
    </row>
    <row r="205" spans="1:8" x14ac:dyDescent="0.25">
      <c r="A205">
        <v>198</v>
      </c>
      <c r="B205" s="1">
        <f t="shared" si="27"/>
        <v>138358.24104576011</v>
      </c>
      <c r="C205" s="8">
        <f t="shared" si="21"/>
        <v>541.90311076256046</v>
      </c>
      <c r="D205" s="8">
        <f t="shared" si="22"/>
        <v>1014.0103175553817</v>
      </c>
      <c r="E205" s="2">
        <f t="shared" si="23"/>
        <v>500</v>
      </c>
      <c r="F205" s="1">
        <f t="shared" si="25"/>
        <v>136844.23072820471</v>
      </c>
      <c r="G205" s="1">
        <f t="shared" si="24"/>
        <v>541.90311076256046</v>
      </c>
      <c r="H205" s="4">
        <f t="shared" si="26"/>
        <v>0</v>
      </c>
    </row>
    <row r="206" spans="1:8" x14ac:dyDescent="0.25">
      <c r="A206">
        <v>199</v>
      </c>
      <c r="B206" s="1">
        <f t="shared" si="27"/>
        <v>136844.23072820471</v>
      </c>
      <c r="C206" s="8">
        <f t="shared" si="21"/>
        <v>535.9732370188018</v>
      </c>
      <c r="D206" s="8">
        <f t="shared" si="22"/>
        <v>1019.9401912991403</v>
      </c>
      <c r="E206" s="2">
        <f t="shared" si="23"/>
        <v>0</v>
      </c>
      <c r="F206" s="1">
        <f t="shared" si="25"/>
        <v>135824.29053690558</v>
      </c>
      <c r="G206" s="1">
        <f t="shared" si="24"/>
        <v>535.9732370188018</v>
      </c>
      <c r="H206" s="4">
        <f t="shared" si="26"/>
        <v>0</v>
      </c>
    </row>
    <row r="207" spans="1:8" x14ac:dyDescent="0.25">
      <c r="A207">
        <v>200</v>
      </c>
      <c r="B207" s="1">
        <f t="shared" si="27"/>
        <v>135824.29053690558</v>
      </c>
      <c r="C207" s="8">
        <f t="shared" si="21"/>
        <v>531.97847126954684</v>
      </c>
      <c r="D207" s="8">
        <f t="shared" si="22"/>
        <v>1023.9349570483953</v>
      </c>
      <c r="E207" s="2">
        <f t="shared" si="23"/>
        <v>0</v>
      </c>
      <c r="F207" s="1">
        <f t="shared" si="25"/>
        <v>134800.35557985719</v>
      </c>
      <c r="G207" s="1">
        <f t="shared" si="24"/>
        <v>531.97847126954684</v>
      </c>
      <c r="H207" s="4">
        <f t="shared" si="26"/>
        <v>0</v>
      </c>
    </row>
    <row r="208" spans="1:8" x14ac:dyDescent="0.25">
      <c r="A208">
        <v>201</v>
      </c>
      <c r="B208" s="1">
        <f t="shared" si="27"/>
        <v>134800.35557985719</v>
      </c>
      <c r="C208" s="8">
        <f t="shared" si="21"/>
        <v>527.9680593544407</v>
      </c>
      <c r="D208" s="8">
        <f t="shared" si="22"/>
        <v>1027.9453689635016</v>
      </c>
      <c r="E208" s="2">
        <f t="shared" si="23"/>
        <v>500</v>
      </c>
      <c r="F208" s="1">
        <f t="shared" si="25"/>
        <v>133272.41021089369</v>
      </c>
      <c r="G208" s="1">
        <f t="shared" si="24"/>
        <v>527.9680593544407</v>
      </c>
      <c r="H208" s="4">
        <f t="shared" si="26"/>
        <v>0</v>
      </c>
    </row>
    <row r="209" spans="1:8" x14ac:dyDescent="0.25">
      <c r="A209">
        <v>202</v>
      </c>
      <c r="B209" s="1">
        <f t="shared" si="27"/>
        <v>133272.41021089369</v>
      </c>
      <c r="C209" s="8">
        <f t="shared" si="21"/>
        <v>521.98360665933365</v>
      </c>
      <c r="D209" s="8">
        <f t="shared" si="22"/>
        <v>1033.9298216586085</v>
      </c>
      <c r="E209" s="2">
        <f t="shared" si="23"/>
        <v>0</v>
      </c>
      <c r="F209" s="1">
        <f t="shared" si="25"/>
        <v>132238.48038923508</v>
      </c>
      <c r="G209" s="1">
        <f t="shared" si="24"/>
        <v>521.98360665933365</v>
      </c>
      <c r="H209" s="4">
        <f t="shared" si="26"/>
        <v>0</v>
      </c>
    </row>
    <row r="210" spans="1:8" x14ac:dyDescent="0.25">
      <c r="A210">
        <v>203</v>
      </c>
      <c r="B210" s="1">
        <f t="shared" si="27"/>
        <v>132238.48038923508</v>
      </c>
      <c r="C210" s="8">
        <f t="shared" si="21"/>
        <v>517.93404819117075</v>
      </c>
      <c r="D210" s="8">
        <f t="shared" si="22"/>
        <v>1037.9793801267715</v>
      </c>
      <c r="E210" s="2">
        <f t="shared" si="23"/>
        <v>0</v>
      </c>
      <c r="F210" s="1">
        <f t="shared" si="25"/>
        <v>131200.50100910829</v>
      </c>
      <c r="G210" s="1">
        <f t="shared" si="24"/>
        <v>517.93404819117075</v>
      </c>
      <c r="H210" s="4">
        <f t="shared" si="26"/>
        <v>0</v>
      </c>
    </row>
    <row r="211" spans="1:8" x14ac:dyDescent="0.25">
      <c r="A211">
        <v>204</v>
      </c>
      <c r="B211" s="1">
        <f t="shared" si="27"/>
        <v>131200.50100910829</v>
      </c>
      <c r="C211" s="8">
        <f t="shared" si="21"/>
        <v>513.86862895234083</v>
      </c>
      <c r="D211" s="8">
        <f t="shared" si="22"/>
        <v>1042.0447993656012</v>
      </c>
      <c r="E211" s="2">
        <f t="shared" si="23"/>
        <v>500</v>
      </c>
      <c r="F211" s="1">
        <f t="shared" si="25"/>
        <v>129658.4562097427</v>
      </c>
      <c r="G211" s="1">
        <f t="shared" si="24"/>
        <v>513.86862895234083</v>
      </c>
      <c r="H211" s="4">
        <f t="shared" si="26"/>
        <v>0</v>
      </c>
    </row>
    <row r="212" spans="1:8" x14ac:dyDescent="0.25">
      <c r="A212">
        <v>205</v>
      </c>
      <c r="B212" s="1">
        <f t="shared" si="27"/>
        <v>129658.4562097427</v>
      </c>
      <c r="C212" s="8">
        <f t="shared" si="21"/>
        <v>507.8289534881589</v>
      </c>
      <c r="D212" s="8">
        <f t="shared" si="22"/>
        <v>1048.0844748297832</v>
      </c>
      <c r="E212" s="2">
        <f t="shared" si="23"/>
        <v>0</v>
      </c>
      <c r="F212" s="1">
        <f t="shared" si="25"/>
        <v>128610.37173491291</v>
      </c>
      <c r="G212" s="1">
        <f t="shared" si="24"/>
        <v>507.8289534881589</v>
      </c>
      <c r="H212" s="4">
        <f t="shared" si="26"/>
        <v>0</v>
      </c>
    </row>
    <row r="213" spans="1:8" x14ac:dyDescent="0.25">
      <c r="A213">
        <v>206</v>
      </c>
      <c r="B213" s="1">
        <f t="shared" si="27"/>
        <v>128610.37173491291</v>
      </c>
      <c r="C213" s="8">
        <f t="shared" si="21"/>
        <v>503.72395596174221</v>
      </c>
      <c r="D213" s="8">
        <f t="shared" si="22"/>
        <v>1052.1894723562</v>
      </c>
      <c r="E213" s="2">
        <f t="shared" si="23"/>
        <v>0</v>
      </c>
      <c r="F213" s="1">
        <f t="shared" si="25"/>
        <v>127558.18226255671</v>
      </c>
      <c r="G213" s="1">
        <f t="shared" si="24"/>
        <v>503.72395596174221</v>
      </c>
      <c r="H213" s="4">
        <f t="shared" si="26"/>
        <v>0</v>
      </c>
    </row>
    <row r="214" spans="1:8" x14ac:dyDescent="0.25">
      <c r="A214">
        <v>207</v>
      </c>
      <c r="B214" s="1">
        <f t="shared" si="27"/>
        <v>127558.18226255671</v>
      </c>
      <c r="C214" s="8">
        <f t="shared" si="21"/>
        <v>499.60288052834716</v>
      </c>
      <c r="D214" s="8">
        <f t="shared" si="22"/>
        <v>1056.3105477895949</v>
      </c>
      <c r="E214" s="2">
        <f t="shared" si="23"/>
        <v>500</v>
      </c>
      <c r="F214" s="1">
        <f t="shared" si="25"/>
        <v>126001.87171476713</v>
      </c>
      <c r="G214" s="1">
        <f t="shared" si="24"/>
        <v>499.60288052834716</v>
      </c>
      <c r="H214" s="4">
        <f t="shared" si="26"/>
        <v>0</v>
      </c>
    </row>
    <row r="215" spans="1:8" x14ac:dyDescent="0.25">
      <c r="A215">
        <v>208</v>
      </c>
      <c r="B215" s="1">
        <f t="shared" si="27"/>
        <v>126001.87171476713</v>
      </c>
      <c r="C215" s="8">
        <f t="shared" si="21"/>
        <v>493.50733088283795</v>
      </c>
      <c r="D215" s="8">
        <f t="shared" si="22"/>
        <v>1062.4060974351041</v>
      </c>
      <c r="E215" s="2">
        <f t="shared" si="23"/>
        <v>0</v>
      </c>
      <c r="F215" s="1">
        <f t="shared" si="25"/>
        <v>124939.46561733203</v>
      </c>
      <c r="G215" s="1">
        <f t="shared" si="24"/>
        <v>493.50733088283795</v>
      </c>
      <c r="H215" s="4">
        <f t="shared" si="26"/>
        <v>0</v>
      </c>
    </row>
    <row r="216" spans="1:8" x14ac:dyDescent="0.25">
      <c r="A216">
        <v>209</v>
      </c>
      <c r="B216" s="1">
        <f t="shared" si="27"/>
        <v>124939.46561733203</v>
      </c>
      <c r="C216" s="8">
        <f t="shared" si="21"/>
        <v>489.34624033455043</v>
      </c>
      <c r="D216" s="8">
        <f t="shared" si="22"/>
        <v>1066.5671879833917</v>
      </c>
      <c r="E216" s="2">
        <f t="shared" si="23"/>
        <v>0</v>
      </c>
      <c r="F216" s="1">
        <f t="shared" si="25"/>
        <v>123872.89842934863</v>
      </c>
      <c r="G216" s="1">
        <f t="shared" si="24"/>
        <v>489.34624033455043</v>
      </c>
      <c r="H216" s="4">
        <f t="shared" si="26"/>
        <v>0</v>
      </c>
    </row>
    <row r="217" spans="1:8" x14ac:dyDescent="0.25">
      <c r="A217">
        <v>210</v>
      </c>
      <c r="B217" s="1">
        <f t="shared" si="27"/>
        <v>123872.89842934863</v>
      </c>
      <c r="C217" s="8">
        <f t="shared" si="21"/>
        <v>485.16885218161548</v>
      </c>
      <c r="D217" s="8">
        <f t="shared" si="22"/>
        <v>1070.7445761363267</v>
      </c>
      <c r="E217" s="2">
        <f t="shared" si="23"/>
        <v>500</v>
      </c>
      <c r="F217" s="1">
        <f t="shared" si="25"/>
        <v>122302.15385321231</v>
      </c>
      <c r="G217" s="1">
        <f t="shared" si="24"/>
        <v>485.16885218161548</v>
      </c>
      <c r="H217" s="4">
        <f t="shared" si="26"/>
        <v>0</v>
      </c>
    </row>
    <row r="218" spans="1:8" x14ac:dyDescent="0.25">
      <c r="A218">
        <v>211</v>
      </c>
      <c r="B218" s="1">
        <f t="shared" si="27"/>
        <v>122302.15385321231</v>
      </c>
      <c r="C218" s="8">
        <f t="shared" si="21"/>
        <v>479.01676925841485</v>
      </c>
      <c r="D218" s="8">
        <f t="shared" si="22"/>
        <v>1076.8966590595273</v>
      </c>
      <c r="E218" s="2">
        <f t="shared" si="23"/>
        <v>0</v>
      </c>
      <c r="F218" s="1">
        <f t="shared" si="25"/>
        <v>121225.25719415279</v>
      </c>
      <c r="G218" s="1">
        <f t="shared" si="24"/>
        <v>479.01676925841485</v>
      </c>
      <c r="H218" s="4">
        <f t="shared" si="26"/>
        <v>0</v>
      </c>
    </row>
    <row r="219" spans="1:8" x14ac:dyDescent="0.25">
      <c r="A219">
        <v>212</v>
      </c>
      <c r="B219" s="1">
        <f t="shared" si="27"/>
        <v>121225.25719415279</v>
      </c>
      <c r="C219" s="8">
        <f t="shared" si="21"/>
        <v>474.79892401043179</v>
      </c>
      <c r="D219" s="8">
        <f t="shared" si="22"/>
        <v>1081.1145043075103</v>
      </c>
      <c r="E219" s="2">
        <f t="shared" si="23"/>
        <v>0</v>
      </c>
      <c r="F219" s="1">
        <f t="shared" si="25"/>
        <v>120144.14268984528</v>
      </c>
      <c r="G219" s="1">
        <f t="shared" si="24"/>
        <v>474.79892401043179</v>
      </c>
      <c r="H219" s="4">
        <f t="shared" si="26"/>
        <v>0</v>
      </c>
    </row>
    <row r="220" spans="1:8" x14ac:dyDescent="0.25">
      <c r="A220">
        <v>213</v>
      </c>
      <c r="B220" s="1">
        <f t="shared" si="27"/>
        <v>120144.14268984528</v>
      </c>
      <c r="C220" s="8">
        <f t="shared" si="21"/>
        <v>470.56455886856065</v>
      </c>
      <c r="D220" s="8">
        <f t="shared" si="22"/>
        <v>1085.3488694493815</v>
      </c>
      <c r="E220" s="2">
        <f t="shared" si="23"/>
        <v>500</v>
      </c>
      <c r="F220" s="1">
        <f t="shared" si="25"/>
        <v>118558.79382039589</v>
      </c>
      <c r="G220" s="1">
        <f t="shared" si="24"/>
        <v>470.56455886856065</v>
      </c>
      <c r="H220" s="4">
        <f t="shared" si="26"/>
        <v>0</v>
      </c>
    </row>
    <row r="221" spans="1:8" x14ac:dyDescent="0.25">
      <c r="A221">
        <v>214</v>
      </c>
      <c r="B221" s="1">
        <f t="shared" si="27"/>
        <v>118558.79382039589</v>
      </c>
      <c r="C221" s="8">
        <f t="shared" si="21"/>
        <v>464.35527579655059</v>
      </c>
      <c r="D221" s="8">
        <f t="shared" si="22"/>
        <v>1091.5581525213915</v>
      </c>
      <c r="E221" s="2">
        <f t="shared" si="23"/>
        <v>0</v>
      </c>
      <c r="F221" s="1">
        <f t="shared" si="25"/>
        <v>117467.2356678745</v>
      </c>
      <c r="G221" s="1">
        <f t="shared" si="24"/>
        <v>464.35527579655059</v>
      </c>
      <c r="H221" s="4">
        <f t="shared" si="26"/>
        <v>0</v>
      </c>
    </row>
    <row r="222" spans="1:8" x14ac:dyDescent="0.25">
      <c r="A222">
        <v>215</v>
      </c>
      <c r="B222" s="1">
        <f t="shared" si="27"/>
        <v>117467.2356678745</v>
      </c>
      <c r="C222" s="8">
        <f t="shared" si="21"/>
        <v>460.08000636584183</v>
      </c>
      <c r="D222" s="8">
        <f t="shared" si="22"/>
        <v>1095.8334219521003</v>
      </c>
      <c r="E222" s="2">
        <f t="shared" si="23"/>
        <v>0</v>
      </c>
      <c r="F222" s="1">
        <f t="shared" si="25"/>
        <v>116371.40224592239</v>
      </c>
      <c r="G222" s="1">
        <f t="shared" si="24"/>
        <v>460.08000636584183</v>
      </c>
      <c r="H222" s="4">
        <f t="shared" si="26"/>
        <v>0</v>
      </c>
    </row>
    <row r="223" spans="1:8" x14ac:dyDescent="0.25">
      <c r="A223">
        <v>216</v>
      </c>
      <c r="B223" s="1">
        <f t="shared" si="27"/>
        <v>116371.40224592239</v>
      </c>
      <c r="C223" s="8">
        <f t="shared" si="21"/>
        <v>455.78799212986269</v>
      </c>
      <c r="D223" s="8">
        <f t="shared" si="22"/>
        <v>1100.1254361880794</v>
      </c>
      <c r="E223" s="2">
        <f t="shared" si="23"/>
        <v>500</v>
      </c>
      <c r="F223" s="1">
        <f t="shared" si="25"/>
        <v>114771.27680973431</v>
      </c>
      <c r="G223" s="1">
        <f t="shared" si="24"/>
        <v>455.78799212986269</v>
      </c>
      <c r="H223" s="4">
        <f t="shared" si="26"/>
        <v>0</v>
      </c>
    </row>
    <row r="224" spans="1:8" x14ac:dyDescent="0.25">
      <c r="A224">
        <v>217</v>
      </c>
      <c r="B224" s="1">
        <f t="shared" si="27"/>
        <v>114771.27680973431</v>
      </c>
      <c r="C224" s="8">
        <f t="shared" si="21"/>
        <v>449.5208341714594</v>
      </c>
      <c r="D224" s="8">
        <f t="shared" si="22"/>
        <v>1106.3925941464827</v>
      </c>
      <c r="E224" s="2">
        <f t="shared" si="23"/>
        <v>0</v>
      </c>
      <c r="F224" s="1">
        <f t="shared" si="25"/>
        <v>113664.88421558782</v>
      </c>
      <c r="G224" s="1">
        <f t="shared" si="24"/>
        <v>449.5208341714594</v>
      </c>
      <c r="H224" s="4">
        <f t="shared" si="26"/>
        <v>0</v>
      </c>
    </row>
    <row r="225" spans="1:8" x14ac:dyDescent="0.25">
      <c r="A225">
        <v>218</v>
      </c>
      <c r="B225" s="1">
        <f t="shared" si="27"/>
        <v>113664.88421558782</v>
      </c>
      <c r="C225" s="8">
        <f t="shared" si="21"/>
        <v>445.18746317771894</v>
      </c>
      <c r="D225" s="8">
        <f t="shared" si="22"/>
        <v>1110.7259651402233</v>
      </c>
      <c r="E225" s="2">
        <f t="shared" si="23"/>
        <v>0</v>
      </c>
      <c r="F225" s="1">
        <f t="shared" si="25"/>
        <v>112554.1582504476</v>
      </c>
      <c r="G225" s="1">
        <f t="shared" si="24"/>
        <v>445.18746317771894</v>
      </c>
      <c r="H225" s="4">
        <f t="shared" si="26"/>
        <v>0</v>
      </c>
    </row>
    <row r="226" spans="1:8" x14ac:dyDescent="0.25">
      <c r="A226">
        <v>219</v>
      </c>
      <c r="B226" s="1">
        <f t="shared" si="27"/>
        <v>112554.1582504476</v>
      </c>
      <c r="C226" s="8">
        <f t="shared" si="21"/>
        <v>440.83711981425307</v>
      </c>
      <c r="D226" s="8">
        <f t="shared" si="22"/>
        <v>1115.076308503689</v>
      </c>
      <c r="E226" s="2">
        <f t="shared" si="23"/>
        <v>500</v>
      </c>
      <c r="F226" s="1">
        <f t="shared" si="25"/>
        <v>110939.08194194391</v>
      </c>
      <c r="G226" s="1">
        <f t="shared" si="24"/>
        <v>440.83711981425307</v>
      </c>
      <c r="H226" s="4">
        <f t="shared" si="26"/>
        <v>0</v>
      </c>
    </row>
    <row r="227" spans="1:8" x14ac:dyDescent="0.25">
      <c r="A227">
        <v>220</v>
      </c>
      <c r="B227" s="1">
        <f t="shared" si="27"/>
        <v>110939.08194194391</v>
      </c>
      <c r="C227" s="8">
        <f t="shared" si="21"/>
        <v>434.51140427261362</v>
      </c>
      <c r="D227" s="8">
        <f t="shared" si="22"/>
        <v>1121.4020240453285</v>
      </c>
      <c r="E227" s="2">
        <f t="shared" si="23"/>
        <v>0</v>
      </c>
      <c r="F227" s="1">
        <f t="shared" si="25"/>
        <v>109817.67991789858</v>
      </c>
      <c r="G227" s="1">
        <f t="shared" si="24"/>
        <v>434.51140427261362</v>
      </c>
      <c r="H227" s="4">
        <f t="shared" si="26"/>
        <v>0</v>
      </c>
    </row>
    <row r="228" spans="1:8" x14ac:dyDescent="0.25">
      <c r="A228">
        <v>221</v>
      </c>
      <c r="B228" s="1">
        <f t="shared" si="27"/>
        <v>109817.67991789858</v>
      </c>
      <c r="C228" s="8">
        <f t="shared" si="21"/>
        <v>430.11924634510279</v>
      </c>
      <c r="D228" s="8">
        <f t="shared" si="22"/>
        <v>1125.7941819728394</v>
      </c>
      <c r="E228" s="2">
        <f t="shared" si="23"/>
        <v>0</v>
      </c>
      <c r="F228" s="1">
        <f t="shared" si="25"/>
        <v>108691.88573592574</v>
      </c>
      <c r="G228" s="1">
        <f t="shared" si="24"/>
        <v>430.11924634510279</v>
      </c>
      <c r="H228" s="4">
        <f t="shared" si="26"/>
        <v>0</v>
      </c>
    </row>
    <row r="229" spans="1:8" x14ac:dyDescent="0.25">
      <c r="A229">
        <v>222</v>
      </c>
      <c r="B229" s="1">
        <f t="shared" si="27"/>
        <v>108691.88573592574</v>
      </c>
      <c r="C229" s="8">
        <f t="shared" si="21"/>
        <v>425.70988579904247</v>
      </c>
      <c r="D229" s="8">
        <f t="shared" si="22"/>
        <v>1130.2035425188997</v>
      </c>
      <c r="E229" s="2">
        <f t="shared" si="23"/>
        <v>500</v>
      </c>
      <c r="F229" s="1">
        <f t="shared" si="25"/>
        <v>107061.68219340684</v>
      </c>
      <c r="G229" s="1">
        <f t="shared" si="24"/>
        <v>425.70988579904247</v>
      </c>
      <c r="H229" s="4">
        <f t="shared" si="26"/>
        <v>0</v>
      </c>
    </row>
    <row r="230" spans="1:8" x14ac:dyDescent="0.25">
      <c r="A230">
        <v>223</v>
      </c>
      <c r="B230" s="1">
        <f t="shared" si="27"/>
        <v>107061.68219340684</v>
      </c>
      <c r="C230" s="8">
        <f t="shared" si="21"/>
        <v>419.32492192417681</v>
      </c>
      <c r="D230" s="8">
        <f t="shared" si="22"/>
        <v>1136.5885063937653</v>
      </c>
      <c r="E230" s="2">
        <f t="shared" si="23"/>
        <v>0</v>
      </c>
      <c r="F230" s="1">
        <f t="shared" si="25"/>
        <v>105925.09368701308</v>
      </c>
      <c r="G230" s="1">
        <f t="shared" si="24"/>
        <v>419.32492192417681</v>
      </c>
      <c r="H230" s="4">
        <f t="shared" si="26"/>
        <v>0</v>
      </c>
    </row>
    <row r="231" spans="1:8" x14ac:dyDescent="0.25">
      <c r="A231">
        <v>224</v>
      </c>
      <c r="B231" s="1">
        <f t="shared" si="27"/>
        <v>105925.09368701308</v>
      </c>
      <c r="C231" s="8">
        <f t="shared" si="21"/>
        <v>414.87328360746795</v>
      </c>
      <c r="D231" s="8">
        <f t="shared" si="22"/>
        <v>1141.0401447104741</v>
      </c>
      <c r="E231" s="2">
        <f t="shared" si="23"/>
        <v>0</v>
      </c>
      <c r="F231" s="1">
        <f t="shared" si="25"/>
        <v>104784.0535423026</v>
      </c>
      <c r="G231" s="1">
        <f t="shared" si="24"/>
        <v>414.87328360746795</v>
      </c>
      <c r="H231" s="4">
        <f t="shared" si="26"/>
        <v>0</v>
      </c>
    </row>
    <row r="232" spans="1:8" x14ac:dyDescent="0.25">
      <c r="A232">
        <v>225</v>
      </c>
      <c r="B232" s="1">
        <f t="shared" si="27"/>
        <v>104784.0535423026</v>
      </c>
      <c r="C232" s="8">
        <f t="shared" si="21"/>
        <v>410.40420970735187</v>
      </c>
      <c r="D232" s="8">
        <f t="shared" si="22"/>
        <v>1145.5092186105903</v>
      </c>
      <c r="E232" s="2">
        <f t="shared" si="23"/>
        <v>500</v>
      </c>
      <c r="F232" s="1">
        <f t="shared" si="25"/>
        <v>103138.54432369201</v>
      </c>
      <c r="G232" s="1">
        <f t="shared" si="24"/>
        <v>410.40420970735187</v>
      </c>
      <c r="H232" s="4">
        <f t="shared" si="26"/>
        <v>0</v>
      </c>
    </row>
    <row r="233" spans="1:8" x14ac:dyDescent="0.25">
      <c r="A233">
        <v>226</v>
      </c>
      <c r="B233" s="1">
        <f t="shared" si="27"/>
        <v>103138.54432369201</v>
      </c>
      <c r="C233" s="8">
        <f t="shared" si="21"/>
        <v>403.95929860112705</v>
      </c>
      <c r="D233" s="8">
        <f t="shared" si="22"/>
        <v>1151.954129716815</v>
      </c>
      <c r="E233" s="2">
        <f t="shared" si="23"/>
        <v>0</v>
      </c>
      <c r="F233" s="1">
        <f t="shared" si="25"/>
        <v>101986.59019397519</v>
      </c>
      <c r="G233" s="1">
        <f t="shared" si="24"/>
        <v>403.95929860112705</v>
      </c>
      <c r="H233" s="4">
        <f t="shared" si="26"/>
        <v>0</v>
      </c>
    </row>
    <row r="234" spans="1:8" x14ac:dyDescent="0.25">
      <c r="A234">
        <v>227</v>
      </c>
      <c r="B234" s="1">
        <f t="shared" si="27"/>
        <v>101986.59019397519</v>
      </c>
      <c r="C234" s="8">
        <f t="shared" si="21"/>
        <v>399.44747825973622</v>
      </c>
      <c r="D234" s="8">
        <f t="shared" si="22"/>
        <v>1156.4659500582059</v>
      </c>
      <c r="E234" s="2">
        <f t="shared" si="23"/>
        <v>0</v>
      </c>
      <c r="F234" s="1">
        <f t="shared" si="25"/>
        <v>100830.12424391699</v>
      </c>
      <c r="G234" s="1">
        <f t="shared" si="24"/>
        <v>399.44747825973622</v>
      </c>
      <c r="H234" s="4">
        <f t="shared" si="26"/>
        <v>0</v>
      </c>
    </row>
    <row r="235" spans="1:8" x14ac:dyDescent="0.25">
      <c r="A235">
        <v>228</v>
      </c>
      <c r="B235" s="1">
        <f t="shared" si="27"/>
        <v>100830.12424391699</v>
      </c>
      <c r="C235" s="8">
        <f t="shared" si="21"/>
        <v>394.91798662200819</v>
      </c>
      <c r="D235" s="8">
        <f t="shared" si="22"/>
        <v>1160.995441695934</v>
      </c>
      <c r="E235" s="2">
        <f t="shared" si="23"/>
        <v>500</v>
      </c>
      <c r="F235" s="1">
        <f t="shared" si="25"/>
        <v>99169.12880222105</v>
      </c>
      <c r="G235" s="1">
        <f t="shared" si="24"/>
        <v>394.91798662200819</v>
      </c>
      <c r="H235" s="4">
        <f t="shared" si="26"/>
        <v>0</v>
      </c>
    </row>
    <row r="236" spans="1:8" x14ac:dyDescent="0.25">
      <c r="A236">
        <v>229</v>
      </c>
      <c r="B236" s="1">
        <f t="shared" si="27"/>
        <v>99169.12880222105</v>
      </c>
      <c r="C236" s="8">
        <f t="shared" si="21"/>
        <v>388.41242114203243</v>
      </c>
      <c r="D236" s="8">
        <f t="shared" si="22"/>
        <v>1167.5010071759098</v>
      </c>
      <c r="E236" s="2">
        <f t="shared" si="23"/>
        <v>0</v>
      </c>
      <c r="F236" s="1">
        <f t="shared" si="25"/>
        <v>98001.627795045148</v>
      </c>
      <c r="G236" s="1">
        <f t="shared" si="24"/>
        <v>388.41242114203243</v>
      </c>
      <c r="H236" s="4">
        <f t="shared" si="26"/>
        <v>0</v>
      </c>
    </row>
    <row r="237" spans="1:8" x14ac:dyDescent="0.25">
      <c r="A237">
        <v>230</v>
      </c>
      <c r="B237" s="1">
        <f t="shared" si="27"/>
        <v>98001.627795045148</v>
      </c>
      <c r="C237" s="8">
        <f t="shared" si="21"/>
        <v>383.83970886392677</v>
      </c>
      <c r="D237" s="8">
        <f t="shared" si="22"/>
        <v>1172.0737194540154</v>
      </c>
      <c r="E237" s="2">
        <f t="shared" si="23"/>
        <v>0</v>
      </c>
      <c r="F237" s="1">
        <f t="shared" si="25"/>
        <v>96829.554075591135</v>
      </c>
      <c r="G237" s="1">
        <f t="shared" si="24"/>
        <v>383.83970886392677</v>
      </c>
      <c r="H237" s="4">
        <f t="shared" si="26"/>
        <v>0</v>
      </c>
    </row>
    <row r="238" spans="1:8" x14ac:dyDescent="0.25">
      <c r="A238">
        <v>231</v>
      </c>
      <c r="B238" s="1">
        <f t="shared" si="27"/>
        <v>96829.554075591135</v>
      </c>
      <c r="C238" s="8">
        <f t="shared" si="21"/>
        <v>379.24908679606528</v>
      </c>
      <c r="D238" s="8">
        <f t="shared" si="22"/>
        <v>1176.6643415218768</v>
      </c>
      <c r="E238" s="2">
        <f t="shared" si="23"/>
        <v>500</v>
      </c>
      <c r="F238" s="1">
        <f t="shared" si="25"/>
        <v>95152.889734069264</v>
      </c>
      <c r="G238" s="1">
        <f t="shared" si="24"/>
        <v>379.24908679606528</v>
      </c>
      <c r="H238" s="4">
        <f t="shared" si="26"/>
        <v>0</v>
      </c>
    </row>
    <row r="239" spans="1:8" x14ac:dyDescent="0.25">
      <c r="A239">
        <v>232</v>
      </c>
      <c r="B239" s="1">
        <f t="shared" si="27"/>
        <v>95152.889734069264</v>
      </c>
      <c r="C239" s="8">
        <f t="shared" si="21"/>
        <v>372.682151458438</v>
      </c>
      <c r="D239" s="8">
        <f t="shared" si="22"/>
        <v>1183.2312768595041</v>
      </c>
      <c r="E239" s="2">
        <f t="shared" si="23"/>
        <v>0</v>
      </c>
      <c r="F239" s="1">
        <f t="shared" si="25"/>
        <v>93969.658457209764</v>
      </c>
      <c r="G239" s="1">
        <f t="shared" si="24"/>
        <v>372.682151458438</v>
      </c>
      <c r="H239" s="4">
        <f t="shared" si="26"/>
        <v>0</v>
      </c>
    </row>
    <row r="240" spans="1:8" x14ac:dyDescent="0.25">
      <c r="A240">
        <v>233</v>
      </c>
      <c r="B240" s="1">
        <f t="shared" si="27"/>
        <v>93969.658457209764</v>
      </c>
      <c r="C240" s="8">
        <f t="shared" si="21"/>
        <v>368.04782895740487</v>
      </c>
      <c r="D240" s="8">
        <f t="shared" si="22"/>
        <v>1187.8655993605373</v>
      </c>
      <c r="E240" s="2">
        <f t="shared" si="23"/>
        <v>0</v>
      </c>
      <c r="F240" s="1">
        <f t="shared" si="25"/>
        <v>92781.792857849228</v>
      </c>
      <c r="G240" s="1">
        <f t="shared" si="24"/>
        <v>368.04782895740487</v>
      </c>
      <c r="H240" s="4">
        <f t="shared" si="26"/>
        <v>0</v>
      </c>
    </row>
    <row r="241" spans="1:8" x14ac:dyDescent="0.25">
      <c r="A241">
        <v>234</v>
      </c>
      <c r="B241" s="1">
        <f t="shared" si="27"/>
        <v>92781.792857849228</v>
      </c>
      <c r="C241" s="8">
        <f t="shared" si="21"/>
        <v>363.39535535990944</v>
      </c>
      <c r="D241" s="8">
        <f t="shared" si="22"/>
        <v>1192.5180729580327</v>
      </c>
      <c r="E241" s="2">
        <f t="shared" si="23"/>
        <v>500</v>
      </c>
      <c r="F241" s="1">
        <f t="shared" si="25"/>
        <v>91089.274784891197</v>
      </c>
      <c r="G241" s="1">
        <f t="shared" si="24"/>
        <v>363.39535535990944</v>
      </c>
      <c r="H241" s="4">
        <f t="shared" si="26"/>
        <v>0</v>
      </c>
    </row>
    <row r="242" spans="1:8" x14ac:dyDescent="0.25">
      <c r="A242">
        <v>235</v>
      </c>
      <c r="B242" s="1">
        <f t="shared" si="27"/>
        <v>91089.274784891197</v>
      </c>
      <c r="C242" s="8">
        <f t="shared" si="21"/>
        <v>356.76632624082384</v>
      </c>
      <c r="D242" s="8">
        <f t="shared" si="22"/>
        <v>1199.1471020771182</v>
      </c>
      <c r="E242" s="2">
        <f t="shared" si="23"/>
        <v>0</v>
      </c>
      <c r="F242" s="1">
        <f t="shared" si="25"/>
        <v>89890.127682814084</v>
      </c>
      <c r="G242" s="1">
        <f t="shared" si="24"/>
        <v>356.76632624082384</v>
      </c>
      <c r="H242" s="4">
        <f t="shared" si="26"/>
        <v>0</v>
      </c>
    </row>
    <row r="243" spans="1:8" x14ac:dyDescent="0.25">
      <c r="A243">
        <v>236</v>
      </c>
      <c r="B243" s="1">
        <f t="shared" si="27"/>
        <v>89890.127682814084</v>
      </c>
      <c r="C243" s="8">
        <f t="shared" si="21"/>
        <v>352.06966675768848</v>
      </c>
      <c r="D243" s="8">
        <f t="shared" si="22"/>
        <v>1203.8437615602536</v>
      </c>
      <c r="E243" s="2">
        <f t="shared" si="23"/>
        <v>0</v>
      </c>
      <c r="F243" s="1">
        <f t="shared" si="25"/>
        <v>88686.283921253824</v>
      </c>
      <c r="G243" s="1">
        <f t="shared" si="24"/>
        <v>352.06966675768848</v>
      </c>
      <c r="H243" s="4">
        <f t="shared" si="26"/>
        <v>0</v>
      </c>
    </row>
    <row r="244" spans="1:8" x14ac:dyDescent="0.25">
      <c r="A244">
        <v>237</v>
      </c>
      <c r="B244" s="1">
        <f t="shared" si="27"/>
        <v>88686.283921253824</v>
      </c>
      <c r="C244" s="8">
        <f t="shared" si="21"/>
        <v>347.35461202491086</v>
      </c>
      <c r="D244" s="8">
        <f t="shared" si="22"/>
        <v>1208.5588162930312</v>
      </c>
      <c r="E244" s="2">
        <f t="shared" si="23"/>
        <v>500</v>
      </c>
      <c r="F244" s="1">
        <f t="shared" si="25"/>
        <v>86977.725104960788</v>
      </c>
      <c r="G244" s="1">
        <f t="shared" si="24"/>
        <v>347.35461202491086</v>
      </c>
      <c r="H244" s="4">
        <f t="shared" si="26"/>
        <v>0</v>
      </c>
    </row>
    <row r="245" spans="1:8" x14ac:dyDescent="0.25">
      <c r="A245">
        <v>238</v>
      </c>
      <c r="B245" s="1">
        <f t="shared" si="27"/>
        <v>86977.725104960788</v>
      </c>
      <c r="C245" s="8">
        <f t="shared" si="21"/>
        <v>340.66275666109641</v>
      </c>
      <c r="D245" s="8">
        <f t="shared" si="22"/>
        <v>1215.2506716568457</v>
      </c>
      <c r="E245" s="2">
        <f t="shared" si="23"/>
        <v>0</v>
      </c>
      <c r="F245" s="1">
        <f t="shared" si="25"/>
        <v>85762.474433303942</v>
      </c>
      <c r="G245" s="1">
        <f t="shared" si="24"/>
        <v>340.66275666109641</v>
      </c>
      <c r="H245" s="4">
        <f t="shared" si="26"/>
        <v>0</v>
      </c>
    </row>
    <row r="246" spans="1:8" x14ac:dyDescent="0.25">
      <c r="A246">
        <v>239</v>
      </c>
      <c r="B246" s="1">
        <f t="shared" si="27"/>
        <v>85762.474433303942</v>
      </c>
      <c r="C246" s="8">
        <f t="shared" si="21"/>
        <v>335.90302486377374</v>
      </c>
      <c r="D246" s="8">
        <f t="shared" si="22"/>
        <v>1220.0104034541685</v>
      </c>
      <c r="E246" s="2">
        <f t="shared" si="23"/>
        <v>0</v>
      </c>
      <c r="F246" s="1">
        <f t="shared" si="25"/>
        <v>84542.464029849769</v>
      </c>
      <c r="G246" s="1">
        <f t="shared" si="24"/>
        <v>335.90302486377374</v>
      </c>
      <c r="H246" s="4">
        <f t="shared" si="26"/>
        <v>0</v>
      </c>
    </row>
    <row r="247" spans="1:8" x14ac:dyDescent="0.25">
      <c r="A247">
        <v>240</v>
      </c>
      <c r="B247" s="1">
        <f t="shared" si="27"/>
        <v>84542.464029849769</v>
      </c>
      <c r="C247" s="8">
        <f t="shared" si="21"/>
        <v>331.12465078357826</v>
      </c>
      <c r="D247" s="8">
        <f t="shared" si="22"/>
        <v>1224.7887775343638</v>
      </c>
      <c r="E247" s="2">
        <f t="shared" si="23"/>
        <v>500</v>
      </c>
      <c r="F247" s="1">
        <f t="shared" si="25"/>
        <v>82817.675252315399</v>
      </c>
      <c r="G247" s="1">
        <f t="shared" si="24"/>
        <v>331.12465078357826</v>
      </c>
      <c r="H247" s="4">
        <f t="shared" si="26"/>
        <v>0</v>
      </c>
    </row>
    <row r="248" spans="1:8" x14ac:dyDescent="0.25">
      <c r="A248">
        <v>241</v>
      </c>
      <c r="B248" s="1">
        <f t="shared" si="27"/>
        <v>82817.675252315399</v>
      </c>
      <c r="C248" s="8">
        <f t="shared" si="21"/>
        <v>324.36922807156867</v>
      </c>
      <c r="D248" s="8">
        <f t="shared" si="22"/>
        <v>1231.5442002463735</v>
      </c>
      <c r="E248" s="2">
        <f t="shared" si="23"/>
        <v>0</v>
      </c>
      <c r="F248" s="1">
        <f t="shared" si="25"/>
        <v>81586.131052069031</v>
      </c>
      <c r="G248" s="1">
        <f t="shared" si="24"/>
        <v>324.36922807156867</v>
      </c>
      <c r="H248" s="4">
        <f t="shared" si="26"/>
        <v>0</v>
      </c>
    </row>
    <row r="249" spans="1:8" x14ac:dyDescent="0.25">
      <c r="A249">
        <v>242</v>
      </c>
      <c r="B249" s="1">
        <f t="shared" si="27"/>
        <v>81586.131052069031</v>
      </c>
      <c r="C249" s="8">
        <f t="shared" si="21"/>
        <v>319.54567995393705</v>
      </c>
      <c r="D249" s="8">
        <f t="shared" si="22"/>
        <v>1236.3677483640051</v>
      </c>
      <c r="E249" s="2">
        <f t="shared" si="23"/>
        <v>0</v>
      </c>
      <c r="F249" s="1">
        <f t="shared" si="25"/>
        <v>80349.763303705025</v>
      </c>
      <c r="G249" s="1">
        <f t="shared" si="24"/>
        <v>319.54567995393705</v>
      </c>
      <c r="H249" s="4">
        <f t="shared" si="26"/>
        <v>0</v>
      </c>
    </row>
    <row r="250" spans="1:8" x14ac:dyDescent="0.25">
      <c r="A250">
        <v>243</v>
      </c>
      <c r="B250" s="1">
        <f t="shared" si="27"/>
        <v>80349.763303705025</v>
      </c>
      <c r="C250" s="8">
        <f t="shared" si="21"/>
        <v>314.70323960617799</v>
      </c>
      <c r="D250" s="8">
        <f t="shared" si="22"/>
        <v>1241.2101887117642</v>
      </c>
      <c r="E250" s="2">
        <f t="shared" si="23"/>
        <v>500</v>
      </c>
      <c r="F250" s="1">
        <f t="shared" si="25"/>
        <v>78608.553114993265</v>
      </c>
      <c r="G250" s="1">
        <f t="shared" si="24"/>
        <v>314.70323960617799</v>
      </c>
      <c r="H250" s="4">
        <f t="shared" si="26"/>
        <v>0</v>
      </c>
    </row>
    <row r="251" spans="1:8" x14ac:dyDescent="0.25">
      <c r="A251">
        <v>244</v>
      </c>
      <c r="B251" s="1">
        <f t="shared" si="27"/>
        <v>78608.553114993265</v>
      </c>
      <c r="C251" s="8">
        <f t="shared" si="21"/>
        <v>307.8834997003903</v>
      </c>
      <c r="D251" s="8">
        <f t="shared" si="22"/>
        <v>1248.0299286175518</v>
      </c>
      <c r="E251" s="2">
        <f t="shared" si="23"/>
        <v>0</v>
      </c>
      <c r="F251" s="1">
        <f t="shared" si="25"/>
        <v>77360.523186375707</v>
      </c>
      <c r="G251" s="1">
        <f t="shared" si="24"/>
        <v>307.8834997003903</v>
      </c>
      <c r="H251" s="4">
        <f t="shared" si="26"/>
        <v>0</v>
      </c>
    </row>
    <row r="252" spans="1:8" x14ac:dyDescent="0.25">
      <c r="A252">
        <v>245</v>
      </c>
      <c r="B252" s="1">
        <f t="shared" si="27"/>
        <v>77360.523186375707</v>
      </c>
      <c r="C252" s="8">
        <f t="shared" si="21"/>
        <v>302.99538247997151</v>
      </c>
      <c r="D252" s="8">
        <f t="shared" si="22"/>
        <v>1252.9180458379706</v>
      </c>
      <c r="E252" s="2">
        <f t="shared" si="23"/>
        <v>0</v>
      </c>
      <c r="F252" s="1">
        <f t="shared" si="25"/>
        <v>76107.605140537737</v>
      </c>
      <c r="G252" s="1">
        <f t="shared" si="24"/>
        <v>302.99538247997151</v>
      </c>
      <c r="H252" s="4">
        <f t="shared" si="26"/>
        <v>0</v>
      </c>
    </row>
    <row r="253" spans="1:8" x14ac:dyDescent="0.25">
      <c r="A253">
        <v>246</v>
      </c>
      <c r="B253" s="1">
        <f t="shared" si="27"/>
        <v>76107.605140537737</v>
      </c>
      <c r="C253" s="8">
        <f t="shared" si="21"/>
        <v>298.0881201337728</v>
      </c>
      <c r="D253" s="8">
        <f t="shared" si="22"/>
        <v>1257.8253081841694</v>
      </c>
      <c r="E253" s="2">
        <f t="shared" si="23"/>
        <v>500</v>
      </c>
      <c r="F253" s="1">
        <f t="shared" si="25"/>
        <v>74349.779832353568</v>
      </c>
      <c r="G253" s="1">
        <f t="shared" si="24"/>
        <v>298.0881201337728</v>
      </c>
      <c r="H253" s="4">
        <f t="shared" si="26"/>
        <v>0</v>
      </c>
    </row>
    <row r="254" spans="1:8" x14ac:dyDescent="0.25">
      <c r="A254">
        <v>247</v>
      </c>
      <c r="B254" s="1">
        <f t="shared" si="27"/>
        <v>74349.779832353568</v>
      </c>
      <c r="C254" s="8">
        <f t="shared" si="21"/>
        <v>291.20330434338479</v>
      </c>
      <c r="D254" s="8">
        <f t="shared" si="22"/>
        <v>1264.7101239745573</v>
      </c>
      <c r="E254" s="2">
        <f t="shared" si="23"/>
        <v>0</v>
      </c>
      <c r="F254" s="1">
        <f t="shared" si="25"/>
        <v>73085.069708379015</v>
      </c>
      <c r="G254" s="1">
        <f t="shared" si="24"/>
        <v>291.20330434338479</v>
      </c>
      <c r="H254" s="4">
        <f t="shared" si="26"/>
        <v>0</v>
      </c>
    </row>
    <row r="255" spans="1:8" x14ac:dyDescent="0.25">
      <c r="A255">
        <v>248</v>
      </c>
      <c r="B255" s="1">
        <f t="shared" si="27"/>
        <v>73085.069708379015</v>
      </c>
      <c r="C255" s="8">
        <f t="shared" si="21"/>
        <v>286.24985635781781</v>
      </c>
      <c r="D255" s="8">
        <f t="shared" si="22"/>
        <v>1269.6635719601243</v>
      </c>
      <c r="E255" s="2">
        <f t="shared" si="23"/>
        <v>0</v>
      </c>
      <c r="F255" s="1">
        <f t="shared" si="25"/>
        <v>71815.406136418896</v>
      </c>
      <c r="G255" s="1">
        <f t="shared" si="24"/>
        <v>286.24985635781781</v>
      </c>
      <c r="H255" s="4">
        <f t="shared" si="26"/>
        <v>0</v>
      </c>
    </row>
    <row r="256" spans="1:8" x14ac:dyDescent="0.25">
      <c r="A256">
        <v>249</v>
      </c>
      <c r="B256" s="1">
        <f t="shared" si="27"/>
        <v>71815.406136418896</v>
      </c>
      <c r="C256" s="8">
        <f t="shared" si="21"/>
        <v>281.27700736764069</v>
      </c>
      <c r="D256" s="8">
        <f t="shared" si="22"/>
        <v>1274.6364209503015</v>
      </c>
      <c r="E256" s="2">
        <f t="shared" si="23"/>
        <v>500</v>
      </c>
      <c r="F256" s="1">
        <f t="shared" si="25"/>
        <v>70040.769715468588</v>
      </c>
      <c r="G256" s="1">
        <f t="shared" si="24"/>
        <v>281.27700736764069</v>
      </c>
      <c r="H256" s="4">
        <f t="shared" si="26"/>
        <v>0</v>
      </c>
    </row>
    <row r="257" spans="1:8" x14ac:dyDescent="0.25">
      <c r="A257">
        <v>250</v>
      </c>
      <c r="B257" s="1">
        <f t="shared" si="27"/>
        <v>70040.769715468588</v>
      </c>
      <c r="C257" s="8">
        <f t="shared" si="21"/>
        <v>274.32634805225194</v>
      </c>
      <c r="D257" s="8">
        <f t="shared" si="22"/>
        <v>1281.5870802656902</v>
      </c>
      <c r="E257" s="2">
        <f t="shared" si="23"/>
        <v>0</v>
      </c>
      <c r="F257" s="1">
        <f t="shared" si="25"/>
        <v>68759.182635202902</v>
      </c>
      <c r="G257" s="1">
        <f t="shared" si="24"/>
        <v>274.32634805225194</v>
      </c>
      <c r="H257" s="4">
        <f t="shared" si="26"/>
        <v>0</v>
      </c>
    </row>
    <row r="258" spans="1:8" x14ac:dyDescent="0.25">
      <c r="A258">
        <v>251</v>
      </c>
      <c r="B258" s="1">
        <f t="shared" si="27"/>
        <v>68759.182635202902</v>
      </c>
      <c r="C258" s="8">
        <f t="shared" si="21"/>
        <v>269.30679865454471</v>
      </c>
      <c r="D258" s="8">
        <f t="shared" si="22"/>
        <v>1286.6066296633974</v>
      </c>
      <c r="E258" s="2">
        <f t="shared" si="23"/>
        <v>0</v>
      </c>
      <c r="F258" s="1">
        <f t="shared" si="25"/>
        <v>67472.576005539508</v>
      </c>
      <c r="G258" s="1">
        <f t="shared" si="24"/>
        <v>269.30679865454471</v>
      </c>
      <c r="H258" s="4">
        <f t="shared" si="26"/>
        <v>0</v>
      </c>
    </row>
    <row r="259" spans="1:8" x14ac:dyDescent="0.25">
      <c r="A259">
        <v>252</v>
      </c>
      <c r="B259" s="1">
        <f t="shared" si="27"/>
        <v>67472.576005539508</v>
      </c>
      <c r="C259" s="8">
        <f t="shared" si="21"/>
        <v>264.26758935502977</v>
      </c>
      <c r="D259" s="8">
        <f t="shared" si="22"/>
        <v>1291.6458389629124</v>
      </c>
      <c r="E259" s="2">
        <f t="shared" si="23"/>
        <v>500</v>
      </c>
      <c r="F259" s="1">
        <f t="shared" si="25"/>
        <v>65680.930166576596</v>
      </c>
      <c r="G259" s="1">
        <f t="shared" si="24"/>
        <v>264.26758935502977</v>
      </c>
      <c r="H259" s="4">
        <f t="shared" si="26"/>
        <v>0</v>
      </c>
    </row>
    <row r="260" spans="1:8" x14ac:dyDescent="0.25">
      <c r="A260">
        <v>253</v>
      </c>
      <c r="B260" s="1">
        <f t="shared" si="27"/>
        <v>65680.930166576596</v>
      </c>
      <c r="C260" s="8">
        <f t="shared" si="21"/>
        <v>257.25030981909168</v>
      </c>
      <c r="D260" s="8">
        <f t="shared" si="22"/>
        <v>1298.6631184988505</v>
      </c>
      <c r="E260" s="2">
        <f t="shared" si="23"/>
        <v>0</v>
      </c>
      <c r="F260" s="1">
        <f t="shared" si="25"/>
        <v>64382.267048077745</v>
      </c>
      <c r="G260" s="1">
        <f t="shared" si="24"/>
        <v>257.25030981909168</v>
      </c>
      <c r="H260" s="4">
        <f t="shared" si="26"/>
        <v>0</v>
      </c>
    </row>
    <row r="261" spans="1:8" x14ac:dyDescent="0.25">
      <c r="A261">
        <v>254</v>
      </c>
      <c r="B261" s="1">
        <f t="shared" si="27"/>
        <v>64382.267048077745</v>
      </c>
      <c r="C261" s="8">
        <f t="shared" si="21"/>
        <v>252.16387927163782</v>
      </c>
      <c r="D261" s="8">
        <f t="shared" si="22"/>
        <v>1303.7495490463043</v>
      </c>
      <c r="E261" s="2">
        <f t="shared" si="23"/>
        <v>0</v>
      </c>
      <c r="F261" s="1">
        <f t="shared" si="25"/>
        <v>63078.517499031441</v>
      </c>
      <c r="G261" s="1">
        <f t="shared" si="24"/>
        <v>252.16387927163782</v>
      </c>
      <c r="H261" s="4">
        <f t="shared" si="26"/>
        <v>0</v>
      </c>
    </row>
    <row r="262" spans="1:8" x14ac:dyDescent="0.25">
      <c r="A262">
        <v>255</v>
      </c>
      <c r="B262" s="1">
        <f t="shared" si="27"/>
        <v>63078.517499031441</v>
      </c>
      <c r="C262" s="8">
        <f t="shared" si="21"/>
        <v>247.05752687120648</v>
      </c>
      <c r="D262" s="8">
        <f t="shared" si="22"/>
        <v>1308.8559014467357</v>
      </c>
      <c r="E262" s="2">
        <f t="shared" si="23"/>
        <v>500</v>
      </c>
      <c r="F262" s="1">
        <f t="shared" si="25"/>
        <v>61269.661597584702</v>
      </c>
      <c r="G262" s="1">
        <f t="shared" si="24"/>
        <v>247.05752687120648</v>
      </c>
      <c r="H262" s="4">
        <f t="shared" si="26"/>
        <v>0</v>
      </c>
    </row>
    <row r="263" spans="1:8" x14ac:dyDescent="0.25">
      <c r="A263">
        <v>256</v>
      </c>
      <c r="B263" s="1">
        <f t="shared" si="27"/>
        <v>61269.661597584702</v>
      </c>
      <c r="C263" s="8">
        <f t="shared" si="21"/>
        <v>239.97284125720674</v>
      </c>
      <c r="D263" s="8">
        <f t="shared" si="22"/>
        <v>1315.9405870607354</v>
      </c>
      <c r="E263" s="2">
        <f t="shared" si="23"/>
        <v>0</v>
      </c>
      <c r="F263" s="1">
        <f t="shared" si="25"/>
        <v>59953.721010523965</v>
      </c>
      <c r="G263" s="1">
        <f t="shared" si="24"/>
        <v>239.97284125720674</v>
      </c>
      <c r="H263" s="4">
        <f t="shared" si="26"/>
        <v>0</v>
      </c>
    </row>
    <row r="264" spans="1:8" x14ac:dyDescent="0.25">
      <c r="A264">
        <v>257</v>
      </c>
      <c r="B264" s="1">
        <f t="shared" si="27"/>
        <v>59953.721010523965</v>
      </c>
      <c r="C264" s="8">
        <f t="shared" ref="C264:C327" si="28">B264*int/12</f>
        <v>234.81874062455219</v>
      </c>
      <c r="D264" s="8">
        <f t="shared" ref="D264:D327" si="29">pmt-C264</f>
        <v>1321.0946876933899</v>
      </c>
      <c r="E264" s="2">
        <f t="shared" ref="E264:E327" si="30">IFERROR(IF(MOD(A264,interval)=0,extrapmt,0),0)</f>
        <v>0</v>
      </c>
      <c r="F264" s="1">
        <f t="shared" si="25"/>
        <v>58632.626322830576</v>
      </c>
      <c r="G264" s="1">
        <f t="shared" ref="G264:G327" si="31">B264*int/12</f>
        <v>234.81874062455219</v>
      </c>
      <c r="H264" s="4">
        <f t="shared" si="26"/>
        <v>0</v>
      </c>
    </row>
    <row r="265" spans="1:8" x14ac:dyDescent="0.25">
      <c r="A265">
        <v>258</v>
      </c>
      <c r="B265" s="1">
        <f t="shared" si="27"/>
        <v>58632.626322830576</v>
      </c>
      <c r="C265" s="8">
        <f t="shared" si="28"/>
        <v>229.64445309775309</v>
      </c>
      <c r="D265" s="8">
        <f t="shared" si="29"/>
        <v>1326.2689752201891</v>
      </c>
      <c r="E265" s="2">
        <f t="shared" si="30"/>
        <v>500</v>
      </c>
      <c r="F265" s="1">
        <f t="shared" ref="F265:F328" si="32">IF(B265-D265-E265&lt;0,0,B265-D265-E265)</f>
        <v>56806.357347610385</v>
      </c>
      <c r="G265" s="1">
        <f t="shared" si="31"/>
        <v>229.64445309775309</v>
      </c>
      <c r="H265" s="4">
        <f t="shared" ref="H265:H328" si="33">(F265&gt;0)*(F266=0)</f>
        <v>0</v>
      </c>
    </row>
    <row r="266" spans="1:8" x14ac:dyDescent="0.25">
      <c r="A266">
        <v>259</v>
      </c>
      <c r="B266" s="1">
        <f t="shared" si="27"/>
        <v>56806.357347610385</v>
      </c>
      <c r="C266" s="8">
        <f t="shared" si="28"/>
        <v>222.49156627814068</v>
      </c>
      <c r="D266" s="8">
        <f t="shared" si="29"/>
        <v>1333.4218620398015</v>
      </c>
      <c r="E266" s="2">
        <f t="shared" si="30"/>
        <v>0</v>
      </c>
      <c r="F266" s="1">
        <f t="shared" si="32"/>
        <v>55472.935485570582</v>
      </c>
      <c r="G266" s="1">
        <f t="shared" si="31"/>
        <v>222.49156627814068</v>
      </c>
      <c r="H266" s="4">
        <f t="shared" si="33"/>
        <v>0</v>
      </c>
    </row>
    <row r="267" spans="1:8" x14ac:dyDescent="0.25">
      <c r="A267">
        <v>260</v>
      </c>
      <c r="B267" s="1">
        <f t="shared" ref="B267:B330" si="34">F266</f>
        <v>55472.935485570582</v>
      </c>
      <c r="C267" s="8">
        <f t="shared" si="28"/>
        <v>217.26899731848479</v>
      </c>
      <c r="D267" s="8">
        <f t="shared" si="29"/>
        <v>1338.6444309994574</v>
      </c>
      <c r="E267" s="2">
        <f t="shared" si="30"/>
        <v>0</v>
      </c>
      <c r="F267" s="1">
        <f t="shared" si="32"/>
        <v>54134.291054571127</v>
      </c>
      <c r="G267" s="1">
        <f t="shared" si="31"/>
        <v>217.26899731848479</v>
      </c>
      <c r="H267" s="4">
        <f t="shared" si="33"/>
        <v>0</v>
      </c>
    </row>
    <row r="268" spans="1:8" x14ac:dyDescent="0.25">
      <c r="A268">
        <v>261</v>
      </c>
      <c r="B268" s="1">
        <f t="shared" si="34"/>
        <v>54134.291054571127</v>
      </c>
      <c r="C268" s="8">
        <f t="shared" si="28"/>
        <v>212.02597329707024</v>
      </c>
      <c r="D268" s="8">
        <f t="shared" si="29"/>
        <v>1343.8874550208718</v>
      </c>
      <c r="E268" s="2">
        <f t="shared" si="30"/>
        <v>500</v>
      </c>
      <c r="F268" s="1">
        <f t="shared" si="32"/>
        <v>52290.403599550256</v>
      </c>
      <c r="G268" s="1">
        <f t="shared" si="31"/>
        <v>212.02597329707024</v>
      </c>
      <c r="H268" s="4">
        <f t="shared" si="33"/>
        <v>0</v>
      </c>
    </row>
    <row r="269" spans="1:8" x14ac:dyDescent="0.25">
      <c r="A269">
        <v>262</v>
      </c>
      <c r="B269" s="1">
        <f t="shared" si="34"/>
        <v>52290.403599550256</v>
      </c>
      <c r="C269" s="8">
        <f t="shared" si="28"/>
        <v>204.80408076490517</v>
      </c>
      <c r="D269" s="8">
        <f t="shared" si="29"/>
        <v>1351.109347553037</v>
      </c>
      <c r="E269" s="2">
        <f t="shared" si="30"/>
        <v>0</v>
      </c>
      <c r="F269" s="1">
        <f t="shared" si="32"/>
        <v>50939.29425199722</v>
      </c>
      <c r="G269" s="1">
        <f t="shared" si="31"/>
        <v>204.80408076490517</v>
      </c>
      <c r="H269" s="4">
        <f t="shared" si="33"/>
        <v>0</v>
      </c>
    </row>
    <row r="270" spans="1:8" x14ac:dyDescent="0.25">
      <c r="A270">
        <v>263</v>
      </c>
      <c r="B270" s="1">
        <f t="shared" si="34"/>
        <v>50939.29425199722</v>
      </c>
      <c r="C270" s="8">
        <f t="shared" si="28"/>
        <v>199.51223582032245</v>
      </c>
      <c r="D270" s="8">
        <f t="shared" si="29"/>
        <v>1356.4011924976196</v>
      </c>
      <c r="E270" s="2">
        <f t="shared" si="30"/>
        <v>0</v>
      </c>
      <c r="F270" s="1">
        <f t="shared" si="32"/>
        <v>49582.893059499598</v>
      </c>
      <c r="G270" s="1">
        <f t="shared" si="31"/>
        <v>199.51223582032245</v>
      </c>
      <c r="H270" s="4">
        <f t="shared" si="33"/>
        <v>0</v>
      </c>
    </row>
    <row r="271" spans="1:8" x14ac:dyDescent="0.25">
      <c r="A271">
        <v>264</v>
      </c>
      <c r="B271" s="1">
        <f t="shared" si="34"/>
        <v>49582.893059499598</v>
      </c>
      <c r="C271" s="8">
        <f t="shared" si="28"/>
        <v>194.1996644830401</v>
      </c>
      <c r="D271" s="8">
        <f t="shared" si="29"/>
        <v>1361.713763834902</v>
      </c>
      <c r="E271" s="2">
        <f t="shared" si="30"/>
        <v>500</v>
      </c>
      <c r="F271" s="1">
        <f t="shared" si="32"/>
        <v>47721.179295664697</v>
      </c>
      <c r="G271" s="1">
        <f t="shared" si="31"/>
        <v>194.1996644830401</v>
      </c>
      <c r="H271" s="4">
        <f t="shared" si="33"/>
        <v>0</v>
      </c>
    </row>
    <row r="272" spans="1:8" x14ac:dyDescent="0.25">
      <c r="A272">
        <v>265</v>
      </c>
      <c r="B272" s="1">
        <f t="shared" si="34"/>
        <v>47721.179295664697</v>
      </c>
      <c r="C272" s="8">
        <f t="shared" si="28"/>
        <v>186.9079522413534</v>
      </c>
      <c r="D272" s="8">
        <f t="shared" si="29"/>
        <v>1369.0054760765888</v>
      </c>
      <c r="E272" s="2">
        <f t="shared" si="30"/>
        <v>0</v>
      </c>
      <c r="F272" s="1">
        <f t="shared" si="32"/>
        <v>46352.173819588104</v>
      </c>
      <c r="G272" s="1">
        <f t="shared" si="31"/>
        <v>186.9079522413534</v>
      </c>
      <c r="H272" s="4">
        <f t="shared" si="33"/>
        <v>0</v>
      </c>
    </row>
    <row r="273" spans="1:8" x14ac:dyDescent="0.25">
      <c r="A273">
        <v>266</v>
      </c>
      <c r="B273" s="1">
        <f t="shared" si="34"/>
        <v>46352.173819588104</v>
      </c>
      <c r="C273" s="8">
        <f t="shared" si="28"/>
        <v>181.54601412672005</v>
      </c>
      <c r="D273" s="8">
        <f t="shared" si="29"/>
        <v>1374.367414191222</v>
      </c>
      <c r="E273" s="2">
        <f t="shared" si="30"/>
        <v>0</v>
      </c>
      <c r="F273" s="1">
        <f t="shared" si="32"/>
        <v>44977.806405396885</v>
      </c>
      <c r="G273" s="1">
        <f t="shared" si="31"/>
        <v>181.54601412672005</v>
      </c>
      <c r="H273" s="4">
        <f t="shared" si="33"/>
        <v>0</v>
      </c>
    </row>
    <row r="274" spans="1:8" x14ac:dyDescent="0.25">
      <c r="A274">
        <v>267</v>
      </c>
      <c r="B274" s="1">
        <f t="shared" si="34"/>
        <v>44977.806405396885</v>
      </c>
      <c r="C274" s="8">
        <f t="shared" si="28"/>
        <v>176.16307508780446</v>
      </c>
      <c r="D274" s="8">
        <f t="shared" si="29"/>
        <v>1379.7503532301378</v>
      </c>
      <c r="E274" s="2">
        <f t="shared" si="30"/>
        <v>500</v>
      </c>
      <c r="F274" s="1">
        <f t="shared" si="32"/>
        <v>43098.05605216675</v>
      </c>
      <c r="G274" s="1">
        <f t="shared" si="31"/>
        <v>176.16307508780446</v>
      </c>
      <c r="H274" s="4">
        <f t="shared" si="33"/>
        <v>0</v>
      </c>
    </row>
    <row r="275" spans="1:8" x14ac:dyDescent="0.25">
      <c r="A275">
        <v>268</v>
      </c>
      <c r="B275" s="1">
        <f t="shared" si="34"/>
        <v>43098.05605216675</v>
      </c>
      <c r="C275" s="8">
        <f t="shared" si="28"/>
        <v>168.80071953765312</v>
      </c>
      <c r="D275" s="8">
        <f t="shared" si="29"/>
        <v>1387.112708780289</v>
      </c>
      <c r="E275" s="2">
        <f t="shared" si="30"/>
        <v>0</v>
      </c>
      <c r="F275" s="1">
        <f t="shared" si="32"/>
        <v>41710.943343386461</v>
      </c>
      <c r="G275" s="1">
        <f t="shared" si="31"/>
        <v>168.80071953765312</v>
      </c>
      <c r="H275" s="4">
        <f t="shared" si="33"/>
        <v>0</v>
      </c>
    </row>
    <row r="276" spans="1:8" x14ac:dyDescent="0.25">
      <c r="A276">
        <v>269</v>
      </c>
      <c r="B276" s="1">
        <f t="shared" si="34"/>
        <v>41710.943343386461</v>
      </c>
      <c r="C276" s="8">
        <f t="shared" si="28"/>
        <v>163.36786142826364</v>
      </c>
      <c r="D276" s="8">
        <f t="shared" si="29"/>
        <v>1392.5455668896784</v>
      </c>
      <c r="E276" s="2">
        <f t="shared" si="30"/>
        <v>0</v>
      </c>
      <c r="F276" s="1">
        <f t="shared" si="32"/>
        <v>40318.397776496786</v>
      </c>
      <c r="G276" s="1">
        <f t="shared" si="31"/>
        <v>163.36786142826364</v>
      </c>
      <c r="H276" s="4">
        <f t="shared" si="33"/>
        <v>0</v>
      </c>
    </row>
    <row r="277" spans="1:8" x14ac:dyDescent="0.25">
      <c r="A277">
        <v>270</v>
      </c>
      <c r="B277" s="1">
        <f t="shared" si="34"/>
        <v>40318.397776496786</v>
      </c>
      <c r="C277" s="8">
        <f t="shared" si="28"/>
        <v>157.9137246246124</v>
      </c>
      <c r="D277" s="8">
        <f t="shared" si="29"/>
        <v>1397.9997036933298</v>
      </c>
      <c r="E277" s="2">
        <f t="shared" si="30"/>
        <v>500</v>
      </c>
      <c r="F277" s="1">
        <f t="shared" si="32"/>
        <v>38420.398072803458</v>
      </c>
      <c r="G277" s="1">
        <f t="shared" si="31"/>
        <v>157.9137246246124</v>
      </c>
      <c r="H277" s="4">
        <f t="shared" si="33"/>
        <v>0</v>
      </c>
    </row>
    <row r="278" spans="1:8" x14ac:dyDescent="0.25">
      <c r="A278">
        <v>271</v>
      </c>
      <c r="B278" s="1">
        <f t="shared" si="34"/>
        <v>38420.398072803458</v>
      </c>
      <c r="C278" s="8">
        <f t="shared" si="28"/>
        <v>150.47989245181355</v>
      </c>
      <c r="D278" s="8">
        <f t="shared" si="29"/>
        <v>1405.4335358661285</v>
      </c>
      <c r="E278" s="2">
        <f t="shared" si="30"/>
        <v>0</v>
      </c>
      <c r="F278" s="1">
        <f t="shared" si="32"/>
        <v>37014.964536937332</v>
      </c>
      <c r="G278" s="1">
        <f t="shared" si="31"/>
        <v>150.47989245181355</v>
      </c>
      <c r="H278" s="4">
        <f t="shared" si="33"/>
        <v>0</v>
      </c>
    </row>
    <row r="279" spans="1:8" x14ac:dyDescent="0.25">
      <c r="A279">
        <v>272</v>
      </c>
      <c r="B279" s="1">
        <f t="shared" si="34"/>
        <v>37014.964536937332</v>
      </c>
      <c r="C279" s="8">
        <f t="shared" si="28"/>
        <v>144.97527776967121</v>
      </c>
      <c r="D279" s="8">
        <f t="shared" si="29"/>
        <v>1410.9381505482709</v>
      </c>
      <c r="E279" s="2">
        <f t="shared" si="30"/>
        <v>0</v>
      </c>
      <c r="F279" s="1">
        <f t="shared" si="32"/>
        <v>35604.026386389058</v>
      </c>
      <c r="G279" s="1">
        <f t="shared" si="31"/>
        <v>144.97527776967121</v>
      </c>
      <c r="H279" s="4">
        <f t="shared" si="33"/>
        <v>0</v>
      </c>
    </row>
    <row r="280" spans="1:8" x14ac:dyDescent="0.25">
      <c r="A280">
        <v>273</v>
      </c>
      <c r="B280" s="1">
        <f t="shared" si="34"/>
        <v>35604.026386389058</v>
      </c>
      <c r="C280" s="8">
        <f t="shared" si="28"/>
        <v>139.44910334669046</v>
      </c>
      <c r="D280" s="8">
        <f t="shared" si="29"/>
        <v>1416.4643249712517</v>
      </c>
      <c r="E280" s="2">
        <f t="shared" si="30"/>
        <v>500</v>
      </c>
      <c r="F280" s="1">
        <f t="shared" si="32"/>
        <v>33687.562061417804</v>
      </c>
      <c r="G280" s="1">
        <f t="shared" si="31"/>
        <v>139.44910334669046</v>
      </c>
      <c r="H280" s="4">
        <f t="shared" si="33"/>
        <v>0</v>
      </c>
    </row>
    <row r="281" spans="1:8" x14ac:dyDescent="0.25">
      <c r="A281">
        <v>274</v>
      </c>
      <c r="B281" s="1">
        <f t="shared" si="34"/>
        <v>33687.562061417804</v>
      </c>
      <c r="C281" s="8">
        <f t="shared" si="28"/>
        <v>131.94295140721974</v>
      </c>
      <c r="D281" s="8">
        <f t="shared" si="29"/>
        <v>1423.9704769107225</v>
      </c>
      <c r="E281" s="2">
        <f t="shared" si="30"/>
        <v>0</v>
      </c>
      <c r="F281" s="1">
        <f t="shared" si="32"/>
        <v>32263.591584507081</v>
      </c>
      <c r="G281" s="1">
        <f t="shared" si="31"/>
        <v>131.94295140721974</v>
      </c>
      <c r="H281" s="4">
        <f t="shared" si="33"/>
        <v>0</v>
      </c>
    </row>
    <row r="282" spans="1:8" x14ac:dyDescent="0.25">
      <c r="A282">
        <v>275</v>
      </c>
      <c r="B282" s="1">
        <f t="shared" si="34"/>
        <v>32263.591584507081</v>
      </c>
      <c r="C282" s="8">
        <f t="shared" si="28"/>
        <v>126.36573370598607</v>
      </c>
      <c r="D282" s="8">
        <f t="shared" si="29"/>
        <v>1429.5476946119561</v>
      </c>
      <c r="E282" s="2">
        <f t="shared" si="30"/>
        <v>0</v>
      </c>
      <c r="F282" s="1">
        <f t="shared" si="32"/>
        <v>30834.043889895125</v>
      </c>
      <c r="G282" s="1">
        <f t="shared" si="31"/>
        <v>126.36573370598607</v>
      </c>
      <c r="H282" s="4">
        <f t="shared" si="33"/>
        <v>0</v>
      </c>
    </row>
    <row r="283" spans="1:8" x14ac:dyDescent="0.25">
      <c r="A283">
        <v>276</v>
      </c>
      <c r="B283" s="1">
        <f t="shared" si="34"/>
        <v>30834.043889895125</v>
      </c>
      <c r="C283" s="8">
        <f t="shared" si="28"/>
        <v>120.76667190208924</v>
      </c>
      <c r="D283" s="8">
        <f t="shared" si="29"/>
        <v>1435.1467564158529</v>
      </c>
      <c r="E283" s="2">
        <f t="shared" si="30"/>
        <v>500</v>
      </c>
      <c r="F283" s="1">
        <f t="shared" si="32"/>
        <v>28898.897133479273</v>
      </c>
      <c r="G283" s="1">
        <f t="shared" si="31"/>
        <v>120.76667190208924</v>
      </c>
      <c r="H283" s="4">
        <f t="shared" si="33"/>
        <v>0</v>
      </c>
    </row>
    <row r="284" spans="1:8" x14ac:dyDescent="0.25">
      <c r="A284">
        <v>277</v>
      </c>
      <c r="B284" s="1">
        <f t="shared" si="34"/>
        <v>28898.897133479273</v>
      </c>
      <c r="C284" s="8">
        <f t="shared" si="28"/>
        <v>113.18734710612716</v>
      </c>
      <c r="D284" s="8">
        <f t="shared" si="29"/>
        <v>1442.726081211815</v>
      </c>
      <c r="E284" s="2">
        <f t="shared" si="30"/>
        <v>0</v>
      </c>
      <c r="F284" s="1">
        <f t="shared" si="32"/>
        <v>27456.171052267458</v>
      </c>
      <c r="G284" s="1">
        <f t="shared" si="31"/>
        <v>113.18734710612716</v>
      </c>
      <c r="H284" s="4">
        <f t="shared" si="33"/>
        <v>0</v>
      </c>
    </row>
    <row r="285" spans="1:8" x14ac:dyDescent="0.25">
      <c r="A285">
        <v>278</v>
      </c>
      <c r="B285" s="1">
        <f t="shared" si="34"/>
        <v>27456.171052267458</v>
      </c>
      <c r="C285" s="8">
        <f t="shared" si="28"/>
        <v>107.53666995471421</v>
      </c>
      <c r="D285" s="8">
        <f t="shared" si="29"/>
        <v>1448.376758363228</v>
      </c>
      <c r="E285" s="2">
        <f t="shared" si="30"/>
        <v>0</v>
      </c>
      <c r="F285" s="1">
        <f t="shared" si="32"/>
        <v>26007.79429390423</v>
      </c>
      <c r="G285" s="1">
        <f t="shared" si="31"/>
        <v>107.53666995471421</v>
      </c>
      <c r="H285" s="4">
        <f t="shared" si="33"/>
        <v>0</v>
      </c>
    </row>
    <row r="286" spans="1:8" x14ac:dyDescent="0.25">
      <c r="A286">
        <v>279</v>
      </c>
      <c r="B286" s="1">
        <f t="shared" si="34"/>
        <v>26007.79429390423</v>
      </c>
      <c r="C286" s="8">
        <f t="shared" si="28"/>
        <v>101.86386098445824</v>
      </c>
      <c r="D286" s="8">
        <f t="shared" si="29"/>
        <v>1454.049567333484</v>
      </c>
      <c r="E286" s="2">
        <f t="shared" si="30"/>
        <v>500</v>
      </c>
      <c r="F286" s="1">
        <f t="shared" si="32"/>
        <v>24053.744726570745</v>
      </c>
      <c r="G286" s="1">
        <f t="shared" si="31"/>
        <v>101.86386098445824</v>
      </c>
      <c r="H286" s="4">
        <f t="shared" si="33"/>
        <v>0</v>
      </c>
    </row>
    <row r="287" spans="1:8" x14ac:dyDescent="0.25">
      <c r="A287">
        <v>280</v>
      </c>
      <c r="B287" s="1">
        <f t="shared" si="34"/>
        <v>24053.744726570745</v>
      </c>
      <c r="C287" s="8">
        <f t="shared" si="28"/>
        <v>94.210500179068745</v>
      </c>
      <c r="D287" s="8">
        <f t="shared" si="29"/>
        <v>1461.7029281388734</v>
      </c>
      <c r="E287" s="2">
        <f t="shared" si="30"/>
        <v>0</v>
      </c>
      <c r="F287" s="1">
        <f t="shared" si="32"/>
        <v>22592.04179843187</v>
      </c>
      <c r="G287" s="1">
        <f t="shared" si="31"/>
        <v>94.210500179068745</v>
      </c>
      <c r="H287" s="4">
        <f t="shared" si="33"/>
        <v>0</v>
      </c>
    </row>
    <row r="288" spans="1:8" x14ac:dyDescent="0.25">
      <c r="A288">
        <v>281</v>
      </c>
      <c r="B288" s="1">
        <f t="shared" si="34"/>
        <v>22592.04179843187</v>
      </c>
      <c r="C288" s="8">
        <f t="shared" si="28"/>
        <v>88.48549704385816</v>
      </c>
      <c r="D288" s="8">
        <f t="shared" si="29"/>
        <v>1467.4279312740839</v>
      </c>
      <c r="E288" s="2">
        <f t="shared" si="30"/>
        <v>0</v>
      </c>
      <c r="F288" s="1">
        <f t="shared" si="32"/>
        <v>21124.613867157786</v>
      </c>
      <c r="G288" s="1">
        <f t="shared" si="31"/>
        <v>88.48549704385816</v>
      </c>
      <c r="H288" s="4">
        <f t="shared" si="33"/>
        <v>0</v>
      </c>
    </row>
    <row r="289" spans="1:8" x14ac:dyDescent="0.25">
      <c r="A289">
        <v>282</v>
      </c>
      <c r="B289" s="1">
        <f t="shared" si="34"/>
        <v>21124.613867157786</v>
      </c>
      <c r="C289" s="8">
        <f t="shared" si="28"/>
        <v>82.738070979701334</v>
      </c>
      <c r="D289" s="8">
        <f t="shared" si="29"/>
        <v>1473.1753573382407</v>
      </c>
      <c r="E289" s="2">
        <f t="shared" si="30"/>
        <v>500</v>
      </c>
      <c r="F289" s="1">
        <f t="shared" si="32"/>
        <v>19151.438509819545</v>
      </c>
      <c r="G289" s="1">
        <f t="shared" si="31"/>
        <v>82.738070979701334</v>
      </c>
      <c r="H289" s="4">
        <f t="shared" si="33"/>
        <v>0</v>
      </c>
    </row>
    <row r="290" spans="1:8" x14ac:dyDescent="0.25">
      <c r="A290">
        <v>283</v>
      </c>
      <c r="B290" s="1">
        <f t="shared" si="34"/>
        <v>19151.438509819545</v>
      </c>
      <c r="C290" s="8">
        <f t="shared" si="28"/>
        <v>75.009800830126551</v>
      </c>
      <c r="D290" s="8">
        <f t="shared" si="29"/>
        <v>1480.9036274878156</v>
      </c>
      <c r="E290" s="2">
        <f t="shared" si="30"/>
        <v>0</v>
      </c>
      <c r="F290" s="1">
        <f t="shared" si="32"/>
        <v>17670.534882331729</v>
      </c>
      <c r="G290" s="1">
        <f t="shared" si="31"/>
        <v>75.009800830126551</v>
      </c>
      <c r="H290" s="4">
        <f t="shared" si="33"/>
        <v>0</v>
      </c>
    </row>
    <row r="291" spans="1:8" x14ac:dyDescent="0.25">
      <c r="A291">
        <v>284</v>
      </c>
      <c r="B291" s="1">
        <f t="shared" si="34"/>
        <v>17670.534882331729</v>
      </c>
      <c r="C291" s="8">
        <f t="shared" si="28"/>
        <v>69.209594955799275</v>
      </c>
      <c r="D291" s="8">
        <f t="shared" si="29"/>
        <v>1486.7038333621429</v>
      </c>
      <c r="E291" s="2">
        <f t="shared" si="30"/>
        <v>0</v>
      </c>
      <c r="F291" s="1">
        <f t="shared" si="32"/>
        <v>16183.831048969587</v>
      </c>
      <c r="G291" s="1">
        <f t="shared" si="31"/>
        <v>69.209594955799275</v>
      </c>
      <c r="H291" s="4">
        <f t="shared" si="33"/>
        <v>0</v>
      </c>
    </row>
    <row r="292" spans="1:8" x14ac:dyDescent="0.25">
      <c r="A292">
        <v>285</v>
      </c>
      <c r="B292" s="1">
        <f t="shared" si="34"/>
        <v>16183.831048969587</v>
      </c>
      <c r="C292" s="8">
        <f t="shared" si="28"/>
        <v>63.386671608464212</v>
      </c>
      <c r="D292" s="8">
        <f t="shared" si="29"/>
        <v>1492.5267567094779</v>
      </c>
      <c r="E292" s="2">
        <f t="shared" si="30"/>
        <v>500</v>
      </c>
      <c r="F292" s="1">
        <f t="shared" si="32"/>
        <v>14191.304292260109</v>
      </c>
      <c r="G292" s="1">
        <f t="shared" si="31"/>
        <v>63.386671608464212</v>
      </c>
      <c r="H292" s="4">
        <f t="shared" si="33"/>
        <v>0</v>
      </c>
    </row>
    <row r="293" spans="1:8" x14ac:dyDescent="0.25">
      <c r="A293">
        <v>286</v>
      </c>
      <c r="B293" s="1">
        <f t="shared" si="34"/>
        <v>14191.304292260109</v>
      </c>
      <c r="C293" s="8">
        <f t="shared" si="28"/>
        <v>55.582608478018756</v>
      </c>
      <c r="D293" s="8">
        <f t="shared" si="29"/>
        <v>1500.3308198399234</v>
      </c>
      <c r="E293" s="2">
        <f t="shared" si="30"/>
        <v>0</v>
      </c>
      <c r="F293" s="1">
        <f t="shared" si="32"/>
        <v>12690.973472420186</v>
      </c>
      <c r="G293" s="1">
        <f t="shared" si="31"/>
        <v>55.582608478018756</v>
      </c>
      <c r="H293" s="4">
        <f t="shared" si="33"/>
        <v>0</v>
      </c>
    </row>
    <row r="294" spans="1:8" x14ac:dyDescent="0.25">
      <c r="A294">
        <v>287</v>
      </c>
      <c r="B294" s="1">
        <f t="shared" si="34"/>
        <v>12690.973472420186</v>
      </c>
      <c r="C294" s="8">
        <f t="shared" si="28"/>
        <v>49.706312766979067</v>
      </c>
      <c r="D294" s="8">
        <f t="shared" si="29"/>
        <v>1506.207115550963</v>
      </c>
      <c r="E294" s="2">
        <f t="shared" si="30"/>
        <v>0</v>
      </c>
      <c r="F294" s="1">
        <f t="shared" si="32"/>
        <v>11184.766356869222</v>
      </c>
      <c r="G294" s="1">
        <f t="shared" si="31"/>
        <v>49.706312766979067</v>
      </c>
      <c r="H294" s="4">
        <f t="shared" si="33"/>
        <v>0</v>
      </c>
    </row>
    <row r="295" spans="1:8" x14ac:dyDescent="0.25">
      <c r="A295">
        <v>288</v>
      </c>
      <c r="B295" s="1">
        <f t="shared" si="34"/>
        <v>11184.766356869222</v>
      </c>
      <c r="C295" s="8">
        <f t="shared" si="28"/>
        <v>43.807001564404459</v>
      </c>
      <c r="D295" s="8">
        <f t="shared" si="29"/>
        <v>1512.1064267535376</v>
      </c>
      <c r="E295" s="2">
        <f t="shared" si="30"/>
        <v>500</v>
      </c>
      <c r="F295" s="1">
        <f t="shared" si="32"/>
        <v>9172.6599301156857</v>
      </c>
      <c r="G295" s="1">
        <f t="shared" si="31"/>
        <v>43.807001564404459</v>
      </c>
      <c r="H295" s="4">
        <f t="shared" si="33"/>
        <v>0</v>
      </c>
    </row>
    <row r="296" spans="1:8" x14ac:dyDescent="0.25">
      <c r="A296">
        <v>289</v>
      </c>
      <c r="B296" s="1">
        <f t="shared" si="34"/>
        <v>9172.6599301156857</v>
      </c>
      <c r="C296" s="8">
        <f t="shared" si="28"/>
        <v>35.926251392953098</v>
      </c>
      <c r="D296" s="8">
        <f t="shared" si="29"/>
        <v>1519.9871769249889</v>
      </c>
      <c r="E296" s="2">
        <f t="shared" si="30"/>
        <v>0</v>
      </c>
      <c r="F296" s="1">
        <f t="shared" si="32"/>
        <v>7652.6727531906963</v>
      </c>
      <c r="G296" s="1">
        <f t="shared" si="31"/>
        <v>35.926251392953098</v>
      </c>
      <c r="H296" s="4">
        <f t="shared" si="33"/>
        <v>0</v>
      </c>
    </row>
    <row r="297" spans="1:8" x14ac:dyDescent="0.25">
      <c r="A297">
        <v>290</v>
      </c>
      <c r="B297" s="1">
        <f t="shared" si="34"/>
        <v>7652.6727531906963</v>
      </c>
      <c r="C297" s="8">
        <f t="shared" si="28"/>
        <v>29.972968283330228</v>
      </c>
      <c r="D297" s="8">
        <f t="shared" si="29"/>
        <v>1525.940460034612</v>
      </c>
      <c r="E297" s="2">
        <f t="shared" si="30"/>
        <v>0</v>
      </c>
      <c r="F297" s="1">
        <f t="shared" si="32"/>
        <v>6126.7322931560848</v>
      </c>
      <c r="G297" s="1">
        <f t="shared" si="31"/>
        <v>29.972968283330228</v>
      </c>
      <c r="H297" s="4">
        <f t="shared" si="33"/>
        <v>0</v>
      </c>
    </row>
    <row r="298" spans="1:8" x14ac:dyDescent="0.25">
      <c r="A298">
        <v>291</v>
      </c>
      <c r="B298" s="1">
        <f t="shared" si="34"/>
        <v>6126.7322931560848</v>
      </c>
      <c r="C298" s="8">
        <f t="shared" si="28"/>
        <v>23.996368148194666</v>
      </c>
      <c r="D298" s="8">
        <f t="shared" si="29"/>
        <v>1531.9170601697474</v>
      </c>
      <c r="E298" s="2">
        <f t="shared" si="30"/>
        <v>500</v>
      </c>
      <c r="F298" s="1">
        <f t="shared" si="32"/>
        <v>4094.8152329863369</v>
      </c>
      <c r="G298" s="1">
        <f t="shared" si="31"/>
        <v>23.996368148194666</v>
      </c>
      <c r="H298" s="4">
        <f t="shared" si="33"/>
        <v>0</v>
      </c>
    </row>
    <row r="299" spans="1:8" x14ac:dyDescent="0.25">
      <c r="A299">
        <v>292</v>
      </c>
      <c r="B299" s="1">
        <f t="shared" si="34"/>
        <v>4094.8152329863369</v>
      </c>
      <c r="C299" s="8">
        <f t="shared" si="28"/>
        <v>16.038026329196487</v>
      </c>
      <c r="D299" s="8">
        <f t="shared" si="29"/>
        <v>1539.8754019887456</v>
      </c>
      <c r="E299" s="2">
        <f t="shared" si="30"/>
        <v>0</v>
      </c>
      <c r="F299" s="1">
        <f t="shared" si="32"/>
        <v>2554.9398309975913</v>
      </c>
      <c r="G299" s="1">
        <f t="shared" si="31"/>
        <v>16.038026329196487</v>
      </c>
      <c r="H299" s="4">
        <f t="shared" si="33"/>
        <v>0</v>
      </c>
    </row>
    <row r="300" spans="1:8" x14ac:dyDescent="0.25">
      <c r="A300">
        <v>293</v>
      </c>
      <c r="B300" s="1">
        <f t="shared" si="34"/>
        <v>2554.9398309975913</v>
      </c>
      <c r="C300" s="8">
        <f t="shared" si="28"/>
        <v>10.006847671407233</v>
      </c>
      <c r="D300" s="8">
        <f t="shared" si="29"/>
        <v>1545.9065806465348</v>
      </c>
      <c r="E300" s="2">
        <f t="shared" si="30"/>
        <v>0</v>
      </c>
      <c r="F300" s="1">
        <f t="shared" si="32"/>
        <v>1009.0332503510565</v>
      </c>
      <c r="G300" s="1">
        <f t="shared" si="31"/>
        <v>10.006847671407233</v>
      </c>
      <c r="H300" s="4">
        <f t="shared" si="33"/>
        <v>1</v>
      </c>
    </row>
    <row r="301" spans="1:8" x14ac:dyDescent="0.25">
      <c r="A301">
        <v>294</v>
      </c>
      <c r="B301" s="1">
        <f t="shared" si="34"/>
        <v>1009.0332503510565</v>
      </c>
      <c r="C301" s="8">
        <f t="shared" si="28"/>
        <v>3.9520468972083047</v>
      </c>
      <c r="D301" s="8">
        <f t="shared" si="29"/>
        <v>1551.9613814207339</v>
      </c>
      <c r="E301" s="2">
        <f t="shared" si="30"/>
        <v>500</v>
      </c>
      <c r="F301" s="1">
        <f t="shared" si="32"/>
        <v>0</v>
      </c>
      <c r="G301" s="1">
        <f t="shared" si="31"/>
        <v>3.9520468972083047</v>
      </c>
      <c r="H301" s="4">
        <f t="shared" si="33"/>
        <v>0</v>
      </c>
    </row>
    <row r="302" spans="1:8" x14ac:dyDescent="0.25">
      <c r="A302">
        <v>295</v>
      </c>
      <c r="B302" s="1">
        <f t="shared" si="34"/>
        <v>0</v>
      </c>
      <c r="C302" s="8">
        <f t="shared" si="28"/>
        <v>0</v>
      </c>
      <c r="D302" s="8">
        <f t="shared" si="29"/>
        <v>1555.9134283179421</v>
      </c>
      <c r="E302" s="2">
        <f t="shared" si="30"/>
        <v>0</v>
      </c>
      <c r="F302" s="1">
        <f t="shared" si="32"/>
        <v>0</v>
      </c>
      <c r="G302" s="1">
        <f t="shared" si="31"/>
        <v>0</v>
      </c>
      <c r="H302" s="4">
        <f t="shared" si="33"/>
        <v>0</v>
      </c>
    </row>
    <row r="303" spans="1:8" x14ac:dyDescent="0.25">
      <c r="A303">
        <v>296</v>
      </c>
      <c r="B303" s="1">
        <f t="shared" si="34"/>
        <v>0</v>
      </c>
      <c r="C303" s="8">
        <f t="shared" si="28"/>
        <v>0</v>
      </c>
      <c r="D303" s="8">
        <f t="shared" si="29"/>
        <v>1555.9134283179421</v>
      </c>
      <c r="E303" s="2">
        <f t="shared" si="30"/>
        <v>0</v>
      </c>
      <c r="F303" s="1">
        <f t="shared" si="32"/>
        <v>0</v>
      </c>
      <c r="G303" s="1">
        <f t="shared" si="31"/>
        <v>0</v>
      </c>
      <c r="H303" s="4">
        <f t="shared" si="33"/>
        <v>0</v>
      </c>
    </row>
    <row r="304" spans="1:8" x14ac:dyDescent="0.25">
      <c r="A304">
        <v>297</v>
      </c>
      <c r="B304" s="1">
        <f t="shared" si="34"/>
        <v>0</v>
      </c>
      <c r="C304" s="8">
        <f t="shared" si="28"/>
        <v>0</v>
      </c>
      <c r="D304" s="8">
        <f t="shared" si="29"/>
        <v>1555.9134283179421</v>
      </c>
      <c r="E304" s="2">
        <f t="shared" si="30"/>
        <v>500</v>
      </c>
      <c r="F304" s="1">
        <f t="shared" si="32"/>
        <v>0</v>
      </c>
      <c r="G304" s="1">
        <f t="shared" si="31"/>
        <v>0</v>
      </c>
      <c r="H304" s="4">
        <f t="shared" si="33"/>
        <v>0</v>
      </c>
    </row>
    <row r="305" spans="1:8" x14ac:dyDescent="0.25">
      <c r="A305">
        <v>298</v>
      </c>
      <c r="B305" s="1">
        <f t="shared" si="34"/>
        <v>0</v>
      </c>
      <c r="C305" s="8">
        <f t="shared" si="28"/>
        <v>0</v>
      </c>
      <c r="D305" s="8">
        <f t="shared" si="29"/>
        <v>1555.9134283179421</v>
      </c>
      <c r="E305" s="2">
        <f t="shared" si="30"/>
        <v>0</v>
      </c>
      <c r="F305" s="1">
        <f t="shared" si="32"/>
        <v>0</v>
      </c>
      <c r="G305" s="1">
        <f t="shared" si="31"/>
        <v>0</v>
      </c>
      <c r="H305" s="4">
        <f t="shared" si="33"/>
        <v>0</v>
      </c>
    </row>
    <row r="306" spans="1:8" x14ac:dyDescent="0.25">
      <c r="A306">
        <v>299</v>
      </c>
      <c r="B306" s="1">
        <f t="shared" si="34"/>
        <v>0</v>
      </c>
      <c r="C306" s="8">
        <f t="shared" si="28"/>
        <v>0</v>
      </c>
      <c r="D306" s="8">
        <f t="shared" si="29"/>
        <v>1555.9134283179421</v>
      </c>
      <c r="E306" s="2">
        <f t="shared" si="30"/>
        <v>0</v>
      </c>
      <c r="F306" s="1">
        <f t="shared" si="32"/>
        <v>0</v>
      </c>
      <c r="G306" s="1">
        <f t="shared" si="31"/>
        <v>0</v>
      </c>
      <c r="H306" s="4">
        <f t="shared" si="33"/>
        <v>0</v>
      </c>
    </row>
    <row r="307" spans="1:8" x14ac:dyDescent="0.25">
      <c r="A307">
        <v>300</v>
      </c>
      <c r="B307" s="1">
        <f t="shared" si="34"/>
        <v>0</v>
      </c>
      <c r="C307" s="8">
        <f t="shared" si="28"/>
        <v>0</v>
      </c>
      <c r="D307" s="8">
        <f t="shared" si="29"/>
        <v>1555.9134283179421</v>
      </c>
      <c r="E307" s="2">
        <f t="shared" si="30"/>
        <v>500</v>
      </c>
      <c r="F307" s="1">
        <f t="shared" si="32"/>
        <v>0</v>
      </c>
      <c r="G307" s="1">
        <f t="shared" si="31"/>
        <v>0</v>
      </c>
      <c r="H307" s="4">
        <f t="shared" si="33"/>
        <v>0</v>
      </c>
    </row>
    <row r="308" spans="1:8" x14ac:dyDescent="0.25">
      <c r="A308">
        <v>301</v>
      </c>
      <c r="B308" s="1">
        <f t="shared" si="34"/>
        <v>0</v>
      </c>
      <c r="C308" s="8">
        <f t="shared" si="28"/>
        <v>0</v>
      </c>
      <c r="D308" s="8">
        <f t="shared" si="29"/>
        <v>1555.9134283179421</v>
      </c>
      <c r="E308" s="2">
        <f t="shared" si="30"/>
        <v>0</v>
      </c>
      <c r="F308" s="1">
        <f t="shared" si="32"/>
        <v>0</v>
      </c>
      <c r="G308" s="1">
        <f t="shared" si="31"/>
        <v>0</v>
      </c>
      <c r="H308" s="4">
        <f t="shared" si="33"/>
        <v>0</v>
      </c>
    </row>
    <row r="309" spans="1:8" x14ac:dyDescent="0.25">
      <c r="A309">
        <v>302</v>
      </c>
      <c r="B309" s="1">
        <f t="shared" si="34"/>
        <v>0</v>
      </c>
      <c r="C309" s="8">
        <f t="shared" si="28"/>
        <v>0</v>
      </c>
      <c r="D309" s="8">
        <f t="shared" si="29"/>
        <v>1555.9134283179421</v>
      </c>
      <c r="E309" s="2">
        <f t="shared" si="30"/>
        <v>0</v>
      </c>
      <c r="F309" s="1">
        <f t="shared" si="32"/>
        <v>0</v>
      </c>
      <c r="G309" s="1">
        <f t="shared" si="31"/>
        <v>0</v>
      </c>
      <c r="H309" s="4">
        <f t="shared" si="33"/>
        <v>0</v>
      </c>
    </row>
    <row r="310" spans="1:8" x14ac:dyDescent="0.25">
      <c r="A310">
        <v>303</v>
      </c>
      <c r="B310" s="1">
        <f t="shared" si="34"/>
        <v>0</v>
      </c>
      <c r="C310" s="8">
        <f t="shared" si="28"/>
        <v>0</v>
      </c>
      <c r="D310" s="8">
        <f t="shared" si="29"/>
        <v>1555.9134283179421</v>
      </c>
      <c r="E310" s="2">
        <f t="shared" si="30"/>
        <v>500</v>
      </c>
      <c r="F310" s="1">
        <f t="shared" si="32"/>
        <v>0</v>
      </c>
      <c r="G310" s="1">
        <f t="shared" si="31"/>
        <v>0</v>
      </c>
      <c r="H310" s="4">
        <f t="shared" si="33"/>
        <v>0</v>
      </c>
    </row>
    <row r="311" spans="1:8" x14ac:dyDescent="0.25">
      <c r="A311">
        <v>304</v>
      </c>
      <c r="B311" s="1">
        <f t="shared" si="34"/>
        <v>0</v>
      </c>
      <c r="C311" s="8">
        <f t="shared" si="28"/>
        <v>0</v>
      </c>
      <c r="D311" s="8">
        <f t="shared" si="29"/>
        <v>1555.9134283179421</v>
      </c>
      <c r="E311" s="2">
        <f t="shared" si="30"/>
        <v>0</v>
      </c>
      <c r="F311" s="1">
        <f t="shared" si="32"/>
        <v>0</v>
      </c>
      <c r="G311" s="1">
        <f t="shared" si="31"/>
        <v>0</v>
      </c>
      <c r="H311" s="4">
        <f t="shared" si="33"/>
        <v>0</v>
      </c>
    </row>
    <row r="312" spans="1:8" x14ac:dyDescent="0.25">
      <c r="A312">
        <v>305</v>
      </c>
      <c r="B312" s="1">
        <f t="shared" si="34"/>
        <v>0</v>
      </c>
      <c r="C312" s="8">
        <f t="shared" si="28"/>
        <v>0</v>
      </c>
      <c r="D312" s="8">
        <f t="shared" si="29"/>
        <v>1555.9134283179421</v>
      </c>
      <c r="E312" s="2">
        <f t="shared" si="30"/>
        <v>0</v>
      </c>
      <c r="F312" s="1">
        <f t="shared" si="32"/>
        <v>0</v>
      </c>
      <c r="G312" s="1">
        <f t="shared" si="31"/>
        <v>0</v>
      </c>
      <c r="H312" s="4">
        <f t="shared" si="33"/>
        <v>0</v>
      </c>
    </row>
    <row r="313" spans="1:8" x14ac:dyDescent="0.25">
      <c r="A313">
        <v>306</v>
      </c>
      <c r="B313" s="1">
        <f t="shared" si="34"/>
        <v>0</v>
      </c>
      <c r="C313" s="8">
        <f t="shared" si="28"/>
        <v>0</v>
      </c>
      <c r="D313" s="8">
        <f t="shared" si="29"/>
        <v>1555.9134283179421</v>
      </c>
      <c r="E313" s="2">
        <f t="shared" si="30"/>
        <v>500</v>
      </c>
      <c r="F313" s="1">
        <f t="shared" si="32"/>
        <v>0</v>
      </c>
      <c r="G313" s="1">
        <f t="shared" si="31"/>
        <v>0</v>
      </c>
      <c r="H313" s="4">
        <f t="shared" si="33"/>
        <v>0</v>
      </c>
    </row>
    <row r="314" spans="1:8" x14ac:dyDescent="0.25">
      <c r="A314">
        <v>307</v>
      </c>
      <c r="B314" s="1">
        <f t="shared" si="34"/>
        <v>0</v>
      </c>
      <c r="C314" s="8">
        <f t="shared" si="28"/>
        <v>0</v>
      </c>
      <c r="D314" s="8">
        <f t="shared" si="29"/>
        <v>1555.9134283179421</v>
      </c>
      <c r="E314" s="2">
        <f t="shared" si="30"/>
        <v>0</v>
      </c>
      <c r="F314" s="1">
        <f t="shared" si="32"/>
        <v>0</v>
      </c>
      <c r="G314" s="1">
        <f t="shared" si="31"/>
        <v>0</v>
      </c>
      <c r="H314" s="4">
        <f t="shared" si="33"/>
        <v>0</v>
      </c>
    </row>
    <row r="315" spans="1:8" x14ac:dyDescent="0.25">
      <c r="A315">
        <v>308</v>
      </c>
      <c r="B315" s="1">
        <f t="shared" si="34"/>
        <v>0</v>
      </c>
      <c r="C315" s="8">
        <f t="shared" si="28"/>
        <v>0</v>
      </c>
      <c r="D315" s="8">
        <f t="shared" si="29"/>
        <v>1555.9134283179421</v>
      </c>
      <c r="E315" s="2">
        <f t="shared" si="30"/>
        <v>0</v>
      </c>
      <c r="F315" s="1">
        <f t="shared" si="32"/>
        <v>0</v>
      </c>
      <c r="G315" s="1">
        <f t="shared" si="31"/>
        <v>0</v>
      </c>
      <c r="H315" s="4">
        <f t="shared" si="33"/>
        <v>0</v>
      </c>
    </row>
    <row r="316" spans="1:8" x14ac:dyDescent="0.25">
      <c r="A316">
        <v>309</v>
      </c>
      <c r="B316" s="1">
        <f t="shared" si="34"/>
        <v>0</v>
      </c>
      <c r="C316" s="8">
        <f t="shared" si="28"/>
        <v>0</v>
      </c>
      <c r="D316" s="8">
        <f t="shared" si="29"/>
        <v>1555.9134283179421</v>
      </c>
      <c r="E316" s="2">
        <f t="shared" si="30"/>
        <v>500</v>
      </c>
      <c r="F316" s="1">
        <f t="shared" si="32"/>
        <v>0</v>
      </c>
      <c r="G316" s="1">
        <f t="shared" si="31"/>
        <v>0</v>
      </c>
      <c r="H316" s="4">
        <f t="shared" si="33"/>
        <v>0</v>
      </c>
    </row>
    <row r="317" spans="1:8" x14ac:dyDescent="0.25">
      <c r="A317">
        <v>310</v>
      </c>
      <c r="B317" s="1">
        <f t="shared" si="34"/>
        <v>0</v>
      </c>
      <c r="C317" s="8">
        <f t="shared" si="28"/>
        <v>0</v>
      </c>
      <c r="D317" s="8">
        <f t="shared" si="29"/>
        <v>1555.9134283179421</v>
      </c>
      <c r="E317" s="2">
        <f t="shared" si="30"/>
        <v>0</v>
      </c>
      <c r="F317" s="1">
        <f t="shared" si="32"/>
        <v>0</v>
      </c>
      <c r="G317" s="1">
        <f t="shared" si="31"/>
        <v>0</v>
      </c>
      <c r="H317" s="4">
        <f t="shared" si="33"/>
        <v>0</v>
      </c>
    </row>
    <row r="318" spans="1:8" x14ac:dyDescent="0.25">
      <c r="A318">
        <v>311</v>
      </c>
      <c r="B318" s="1">
        <f t="shared" si="34"/>
        <v>0</v>
      </c>
      <c r="C318" s="8">
        <f t="shared" si="28"/>
        <v>0</v>
      </c>
      <c r="D318" s="8">
        <f t="shared" si="29"/>
        <v>1555.9134283179421</v>
      </c>
      <c r="E318" s="2">
        <f t="shared" si="30"/>
        <v>0</v>
      </c>
      <c r="F318" s="1">
        <f t="shared" si="32"/>
        <v>0</v>
      </c>
      <c r="G318" s="1">
        <f t="shared" si="31"/>
        <v>0</v>
      </c>
      <c r="H318" s="4">
        <f t="shared" si="33"/>
        <v>0</v>
      </c>
    </row>
    <row r="319" spans="1:8" x14ac:dyDescent="0.25">
      <c r="A319">
        <v>312</v>
      </c>
      <c r="B319" s="1">
        <f t="shared" si="34"/>
        <v>0</v>
      </c>
      <c r="C319" s="8">
        <f t="shared" si="28"/>
        <v>0</v>
      </c>
      <c r="D319" s="8">
        <f t="shared" si="29"/>
        <v>1555.9134283179421</v>
      </c>
      <c r="E319" s="2">
        <f t="shared" si="30"/>
        <v>500</v>
      </c>
      <c r="F319" s="1">
        <f t="shared" si="32"/>
        <v>0</v>
      </c>
      <c r="G319" s="1">
        <f t="shared" si="31"/>
        <v>0</v>
      </c>
      <c r="H319" s="4">
        <f t="shared" si="33"/>
        <v>0</v>
      </c>
    </row>
    <row r="320" spans="1:8" x14ac:dyDescent="0.25">
      <c r="A320">
        <v>313</v>
      </c>
      <c r="B320" s="1">
        <f t="shared" si="34"/>
        <v>0</v>
      </c>
      <c r="C320" s="8">
        <f t="shared" si="28"/>
        <v>0</v>
      </c>
      <c r="D320" s="8">
        <f t="shared" si="29"/>
        <v>1555.9134283179421</v>
      </c>
      <c r="E320" s="2">
        <f t="shared" si="30"/>
        <v>0</v>
      </c>
      <c r="F320" s="1">
        <f t="shared" si="32"/>
        <v>0</v>
      </c>
      <c r="G320" s="1">
        <f t="shared" si="31"/>
        <v>0</v>
      </c>
      <c r="H320" s="4">
        <f t="shared" si="33"/>
        <v>0</v>
      </c>
    </row>
    <row r="321" spans="1:8" x14ac:dyDescent="0.25">
      <c r="A321">
        <v>314</v>
      </c>
      <c r="B321" s="1">
        <f t="shared" si="34"/>
        <v>0</v>
      </c>
      <c r="C321" s="8">
        <f t="shared" si="28"/>
        <v>0</v>
      </c>
      <c r="D321" s="8">
        <f t="shared" si="29"/>
        <v>1555.9134283179421</v>
      </c>
      <c r="E321" s="2">
        <f t="shared" si="30"/>
        <v>0</v>
      </c>
      <c r="F321" s="1">
        <f t="shared" si="32"/>
        <v>0</v>
      </c>
      <c r="G321" s="1">
        <f t="shared" si="31"/>
        <v>0</v>
      </c>
      <c r="H321" s="4">
        <f t="shared" si="33"/>
        <v>0</v>
      </c>
    </row>
    <row r="322" spans="1:8" x14ac:dyDescent="0.25">
      <c r="A322">
        <v>315</v>
      </c>
      <c r="B322" s="1">
        <f t="shared" si="34"/>
        <v>0</v>
      </c>
      <c r="C322" s="8">
        <f t="shared" si="28"/>
        <v>0</v>
      </c>
      <c r="D322" s="8">
        <f t="shared" si="29"/>
        <v>1555.9134283179421</v>
      </c>
      <c r="E322" s="2">
        <f t="shared" si="30"/>
        <v>500</v>
      </c>
      <c r="F322" s="1">
        <f t="shared" si="32"/>
        <v>0</v>
      </c>
      <c r="G322" s="1">
        <f t="shared" si="31"/>
        <v>0</v>
      </c>
      <c r="H322" s="4">
        <f t="shared" si="33"/>
        <v>0</v>
      </c>
    </row>
    <row r="323" spans="1:8" x14ac:dyDescent="0.25">
      <c r="A323">
        <v>316</v>
      </c>
      <c r="B323" s="1">
        <f t="shared" si="34"/>
        <v>0</v>
      </c>
      <c r="C323" s="8">
        <f t="shared" si="28"/>
        <v>0</v>
      </c>
      <c r="D323" s="8">
        <f t="shared" si="29"/>
        <v>1555.9134283179421</v>
      </c>
      <c r="E323" s="2">
        <f t="shared" si="30"/>
        <v>0</v>
      </c>
      <c r="F323" s="1">
        <f t="shared" si="32"/>
        <v>0</v>
      </c>
      <c r="G323" s="1">
        <f t="shared" si="31"/>
        <v>0</v>
      </c>
      <c r="H323" s="4">
        <f t="shared" si="33"/>
        <v>0</v>
      </c>
    </row>
    <row r="324" spans="1:8" x14ac:dyDescent="0.25">
      <c r="A324">
        <v>317</v>
      </c>
      <c r="B324" s="1">
        <f t="shared" si="34"/>
        <v>0</v>
      </c>
      <c r="C324" s="8">
        <f t="shared" si="28"/>
        <v>0</v>
      </c>
      <c r="D324" s="8">
        <f t="shared" si="29"/>
        <v>1555.9134283179421</v>
      </c>
      <c r="E324" s="2">
        <f t="shared" si="30"/>
        <v>0</v>
      </c>
      <c r="F324" s="1">
        <f t="shared" si="32"/>
        <v>0</v>
      </c>
      <c r="G324" s="1">
        <f t="shared" si="31"/>
        <v>0</v>
      </c>
      <c r="H324" s="4">
        <f t="shared" si="33"/>
        <v>0</v>
      </c>
    </row>
    <row r="325" spans="1:8" x14ac:dyDescent="0.25">
      <c r="A325">
        <v>318</v>
      </c>
      <c r="B325" s="1">
        <f t="shared" si="34"/>
        <v>0</v>
      </c>
      <c r="C325" s="8">
        <f t="shared" si="28"/>
        <v>0</v>
      </c>
      <c r="D325" s="8">
        <f t="shared" si="29"/>
        <v>1555.9134283179421</v>
      </c>
      <c r="E325" s="2">
        <f t="shared" si="30"/>
        <v>500</v>
      </c>
      <c r="F325" s="1">
        <f t="shared" si="32"/>
        <v>0</v>
      </c>
      <c r="G325" s="1">
        <f t="shared" si="31"/>
        <v>0</v>
      </c>
      <c r="H325" s="4">
        <f t="shared" si="33"/>
        <v>0</v>
      </c>
    </row>
    <row r="326" spans="1:8" x14ac:dyDescent="0.25">
      <c r="A326">
        <v>319</v>
      </c>
      <c r="B326" s="1">
        <f t="shared" si="34"/>
        <v>0</v>
      </c>
      <c r="C326" s="8">
        <f t="shared" si="28"/>
        <v>0</v>
      </c>
      <c r="D326" s="8">
        <f t="shared" si="29"/>
        <v>1555.9134283179421</v>
      </c>
      <c r="E326" s="2">
        <f t="shared" si="30"/>
        <v>0</v>
      </c>
      <c r="F326" s="1">
        <f t="shared" si="32"/>
        <v>0</v>
      </c>
      <c r="G326" s="1">
        <f t="shared" si="31"/>
        <v>0</v>
      </c>
      <c r="H326" s="4">
        <f t="shared" si="33"/>
        <v>0</v>
      </c>
    </row>
    <row r="327" spans="1:8" x14ac:dyDescent="0.25">
      <c r="A327">
        <v>320</v>
      </c>
      <c r="B327" s="1">
        <f t="shared" si="34"/>
        <v>0</v>
      </c>
      <c r="C327" s="8">
        <f t="shared" si="28"/>
        <v>0</v>
      </c>
      <c r="D327" s="8">
        <f t="shared" si="29"/>
        <v>1555.9134283179421</v>
      </c>
      <c r="E327" s="2">
        <f t="shared" si="30"/>
        <v>0</v>
      </c>
      <c r="F327" s="1">
        <f t="shared" si="32"/>
        <v>0</v>
      </c>
      <c r="G327" s="1">
        <f t="shared" si="31"/>
        <v>0</v>
      </c>
      <c r="H327" s="4">
        <f t="shared" si="33"/>
        <v>0</v>
      </c>
    </row>
    <row r="328" spans="1:8" x14ac:dyDescent="0.25">
      <c r="A328">
        <v>321</v>
      </c>
      <c r="B328" s="1">
        <f t="shared" si="34"/>
        <v>0</v>
      </c>
      <c r="C328" s="8">
        <f t="shared" ref="C328:C367" si="35">B328*int/12</f>
        <v>0</v>
      </c>
      <c r="D328" s="8">
        <f t="shared" ref="D328:D367" si="36">pmt-C328</f>
        <v>1555.9134283179421</v>
      </c>
      <c r="E328" s="2">
        <f t="shared" ref="E328:E367" si="37">IFERROR(IF(MOD(A328,interval)=0,extrapmt,0),0)</f>
        <v>500</v>
      </c>
      <c r="F328" s="1">
        <f t="shared" si="32"/>
        <v>0</v>
      </c>
      <c r="G328" s="1">
        <f t="shared" ref="G328:G367" si="38">B328*int/12</f>
        <v>0</v>
      </c>
      <c r="H328" s="4">
        <f t="shared" si="33"/>
        <v>0</v>
      </c>
    </row>
    <row r="329" spans="1:8" x14ac:dyDescent="0.25">
      <c r="A329">
        <v>322</v>
      </c>
      <c r="B329" s="1">
        <f t="shared" si="34"/>
        <v>0</v>
      </c>
      <c r="C329" s="8">
        <f t="shared" si="35"/>
        <v>0</v>
      </c>
      <c r="D329" s="8">
        <f t="shared" si="36"/>
        <v>1555.9134283179421</v>
      </c>
      <c r="E329" s="2">
        <f t="shared" si="37"/>
        <v>0</v>
      </c>
      <c r="F329" s="1">
        <f t="shared" ref="F329:F367" si="39">IF(B329-D329-E329&lt;0,0,B329-D329-E329)</f>
        <v>0</v>
      </c>
      <c r="G329" s="1">
        <f t="shared" si="38"/>
        <v>0</v>
      </c>
      <c r="H329" s="4">
        <f t="shared" ref="H329:H367" si="40">(F329&gt;0)*(F330=0)</f>
        <v>0</v>
      </c>
    </row>
    <row r="330" spans="1:8" x14ac:dyDescent="0.25">
      <c r="A330">
        <v>323</v>
      </c>
      <c r="B330" s="1">
        <f t="shared" si="34"/>
        <v>0</v>
      </c>
      <c r="C330" s="8">
        <f t="shared" si="35"/>
        <v>0</v>
      </c>
      <c r="D330" s="8">
        <f t="shared" si="36"/>
        <v>1555.9134283179421</v>
      </c>
      <c r="E330" s="2">
        <f t="shared" si="37"/>
        <v>0</v>
      </c>
      <c r="F330" s="1">
        <f t="shared" si="39"/>
        <v>0</v>
      </c>
      <c r="G330" s="1">
        <f t="shared" si="38"/>
        <v>0</v>
      </c>
      <c r="H330" s="4">
        <f t="shared" si="40"/>
        <v>0</v>
      </c>
    </row>
    <row r="331" spans="1:8" x14ac:dyDescent="0.25">
      <c r="A331">
        <v>324</v>
      </c>
      <c r="B331" s="1">
        <f t="shared" ref="B331:B367" si="41">F330</f>
        <v>0</v>
      </c>
      <c r="C331" s="8">
        <f t="shared" si="35"/>
        <v>0</v>
      </c>
      <c r="D331" s="8">
        <f t="shared" si="36"/>
        <v>1555.9134283179421</v>
      </c>
      <c r="E331" s="2">
        <f t="shared" si="37"/>
        <v>500</v>
      </c>
      <c r="F331" s="1">
        <f t="shared" si="39"/>
        <v>0</v>
      </c>
      <c r="G331" s="1">
        <f t="shared" si="38"/>
        <v>0</v>
      </c>
      <c r="H331" s="4">
        <f t="shared" si="40"/>
        <v>0</v>
      </c>
    </row>
    <row r="332" spans="1:8" x14ac:dyDescent="0.25">
      <c r="A332">
        <v>325</v>
      </c>
      <c r="B332" s="1">
        <f t="shared" si="41"/>
        <v>0</v>
      </c>
      <c r="C332" s="8">
        <f t="shared" si="35"/>
        <v>0</v>
      </c>
      <c r="D332" s="8">
        <f t="shared" si="36"/>
        <v>1555.9134283179421</v>
      </c>
      <c r="E332" s="2">
        <f t="shared" si="37"/>
        <v>0</v>
      </c>
      <c r="F332" s="1">
        <f t="shared" si="39"/>
        <v>0</v>
      </c>
      <c r="G332" s="1">
        <f t="shared" si="38"/>
        <v>0</v>
      </c>
      <c r="H332" s="4">
        <f t="shared" si="40"/>
        <v>0</v>
      </c>
    </row>
    <row r="333" spans="1:8" x14ac:dyDescent="0.25">
      <c r="A333">
        <v>326</v>
      </c>
      <c r="B333" s="1">
        <f t="shared" si="41"/>
        <v>0</v>
      </c>
      <c r="C333" s="8">
        <f t="shared" si="35"/>
        <v>0</v>
      </c>
      <c r="D333" s="8">
        <f t="shared" si="36"/>
        <v>1555.9134283179421</v>
      </c>
      <c r="E333" s="2">
        <f t="shared" si="37"/>
        <v>0</v>
      </c>
      <c r="F333" s="1">
        <f t="shared" si="39"/>
        <v>0</v>
      </c>
      <c r="G333" s="1">
        <f t="shared" si="38"/>
        <v>0</v>
      </c>
      <c r="H333" s="4">
        <f t="shared" si="40"/>
        <v>0</v>
      </c>
    </row>
    <row r="334" spans="1:8" x14ac:dyDescent="0.25">
      <c r="A334">
        <v>327</v>
      </c>
      <c r="B334" s="1">
        <f t="shared" si="41"/>
        <v>0</v>
      </c>
      <c r="C334" s="8">
        <f t="shared" si="35"/>
        <v>0</v>
      </c>
      <c r="D334" s="8">
        <f t="shared" si="36"/>
        <v>1555.9134283179421</v>
      </c>
      <c r="E334" s="2">
        <f t="shared" si="37"/>
        <v>500</v>
      </c>
      <c r="F334" s="1">
        <f t="shared" si="39"/>
        <v>0</v>
      </c>
      <c r="G334" s="1">
        <f t="shared" si="38"/>
        <v>0</v>
      </c>
      <c r="H334" s="4">
        <f t="shared" si="40"/>
        <v>0</v>
      </c>
    </row>
    <row r="335" spans="1:8" x14ac:dyDescent="0.25">
      <c r="A335">
        <v>328</v>
      </c>
      <c r="B335" s="1">
        <f t="shared" si="41"/>
        <v>0</v>
      </c>
      <c r="C335" s="8">
        <f t="shared" si="35"/>
        <v>0</v>
      </c>
      <c r="D335" s="8">
        <f t="shared" si="36"/>
        <v>1555.9134283179421</v>
      </c>
      <c r="E335" s="2">
        <f t="shared" si="37"/>
        <v>0</v>
      </c>
      <c r="F335" s="1">
        <f t="shared" si="39"/>
        <v>0</v>
      </c>
      <c r="G335" s="1">
        <f t="shared" si="38"/>
        <v>0</v>
      </c>
      <c r="H335" s="4">
        <f t="shared" si="40"/>
        <v>0</v>
      </c>
    </row>
    <row r="336" spans="1:8" x14ac:dyDescent="0.25">
      <c r="A336">
        <v>329</v>
      </c>
      <c r="B336" s="1">
        <f t="shared" si="41"/>
        <v>0</v>
      </c>
      <c r="C336" s="8">
        <f t="shared" si="35"/>
        <v>0</v>
      </c>
      <c r="D336" s="8">
        <f t="shared" si="36"/>
        <v>1555.9134283179421</v>
      </c>
      <c r="E336" s="2">
        <f t="shared" si="37"/>
        <v>0</v>
      </c>
      <c r="F336" s="1">
        <f t="shared" si="39"/>
        <v>0</v>
      </c>
      <c r="G336" s="1">
        <f t="shared" si="38"/>
        <v>0</v>
      </c>
      <c r="H336" s="4">
        <f t="shared" si="40"/>
        <v>0</v>
      </c>
    </row>
    <row r="337" spans="1:8" x14ac:dyDescent="0.25">
      <c r="A337">
        <v>330</v>
      </c>
      <c r="B337" s="1">
        <f t="shared" si="41"/>
        <v>0</v>
      </c>
      <c r="C337" s="8">
        <f t="shared" si="35"/>
        <v>0</v>
      </c>
      <c r="D337" s="8">
        <f t="shared" si="36"/>
        <v>1555.9134283179421</v>
      </c>
      <c r="E337" s="2">
        <f t="shared" si="37"/>
        <v>500</v>
      </c>
      <c r="F337" s="1">
        <f t="shared" si="39"/>
        <v>0</v>
      </c>
      <c r="G337" s="1">
        <f t="shared" si="38"/>
        <v>0</v>
      </c>
      <c r="H337" s="4">
        <f t="shared" si="40"/>
        <v>0</v>
      </c>
    </row>
    <row r="338" spans="1:8" x14ac:dyDescent="0.25">
      <c r="A338">
        <v>331</v>
      </c>
      <c r="B338" s="1">
        <f t="shared" si="41"/>
        <v>0</v>
      </c>
      <c r="C338" s="8">
        <f t="shared" si="35"/>
        <v>0</v>
      </c>
      <c r="D338" s="8">
        <f t="shared" si="36"/>
        <v>1555.9134283179421</v>
      </c>
      <c r="E338" s="2">
        <f t="shared" si="37"/>
        <v>0</v>
      </c>
      <c r="F338" s="1">
        <f t="shared" si="39"/>
        <v>0</v>
      </c>
      <c r="G338" s="1">
        <f t="shared" si="38"/>
        <v>0</v>
      </c>
      <c r="H338" s="4">
        <f t="shared" si="40"/>
        <v>0</v>
      </c>
    </row>
    <row r="339" spans="1:8" x14ac:dyDescent="0.25">
      <c r="A339">
        <v>332</v>
      </c>
      <c r="B339" s="1">
        <f t="shared" si="41"/>
        <v>0</v>
      </c>
      <c r="C339" s="8">
        <f t="shared" si="35"/>
        <v>0</v>
      </c>
      <c r="D339" s="8">
        <f t="shared" si="36"/>
        <v>1555.9134283179421</v>
      </c>
      <c r="E339" s="2">
        <f t="shared" si="37"/>
        <v>0</v>
      </c>
      <c r="F339" s="1">
        <f t="shared" si="39"/>
        <v>0</v>
      </c>
      <c r="G339" s="1">
        <f t="shared" si="38"/>
        <v>0</v>
      </c>
      <c r="H339" s="4">
        <f t="shared" si="40"/>
        <v>0</v>
      </c>
    </row>
    <row r="340" spans="1:8" x14ac:dyDescent="0.25">
      <c r="A340">
        <v>333</v>
      </c>
      <c r="B340" s="1">
        <f t="shared" si="41"/>
        <v>0</v>
      </c>
      <c r="C340" s="8">
        <f t="shared" si="35"/>
        <v>0</v>
      </c>
      <c r="D340" s="8">
        <f t="shared" si="36"/>
        <v>1555.9134283179421</v>
      </c>
      <c r="E340" s="2">
        <f t="shared" si="37"/>
        <v>500</v>
      </c>
      <c r="F340" s="1">
        <f t="shared" si="39"/>
        <v>0</v>
      </c>
      <c r="G340" s="1">
        <f t="shared" si="38"/>
        <v>0</v>
      </c>
      <c r="H340" s="4">
        <f t="shared" si="40"/>
        <v>0</v>
      </c>
    </row>
    <row r="341" spans="1:8" x14ac:dyDescent="0.25">
      <c r="A341">
        <v>334</v>
      </c>
      <c r="B341" s="1">
        <f t="shared" si="41"/>
        <v>0</v>
      </c>
      <c r="C341" s="8">
        <f t="shared" si="35"/>
        <v>0</v>
      </c>
      <c r="D341" s="8">
        <f t="shared" si="36"/>
        <v>1555.9134283179421</v>
      </c>
      <c r="E341" s="2">
        <f t="shared" si="37"/>
        <v>0</v>
      </c>
      <c r="F341" s="1">
        <f t="shared" si="39"/>
        <v>0</v>
      </c>
      <c r="G341" s="1">
        <f t="shared" si="38"/>
        <v>0</v>
      </c>
      <c r="H341" s="4">
        <f t="shared" si="40"/>
        <v>0</v>
      </c>
    </row>
    <row r="342" spans="1:8" x14ac:dyDescent="0.25">
      <c r="A342">
        <v>335</v>
      </c>
      <c r="B342" s="1">
        <f t="shared" si="41"/>
        <v>0</v>
      </c>
      <c r="C342" s="8">
        <f t="shared" si="35"/>
        <v>0</v>
      </c>
      <c r="D342" s="8">
        <f t="shared" si="36"/>
        <v>1555.9134283179421</v>
      </c>
      <c r="E342" s="2">
        <f t="shared" si="37"/>
        <v>0</v>
      </c>
      <c r="F342" s="1">
        <f t="shared" si="39"/>
        <v>0</v>
      </c>
      <c r="G342" s="1">
        <f t="shared" si="38"/>
        <v>0</v>
      </c>
      <c r="H342" s="4">
        <f t="shared" si="40"/>
        <v>0</v>
      </c>
    </row>
    <row r="343" spans="1:8" x14ac:dyDescent="0.25">
      <c r="A343">
        <v>336</v>
      </c>
      <c r="B343" s="1">
        <f t="shared" si="41"/>
        <v>0</v>
      </c>
      <c r="C343" s="8">
        <f t="shared" si="35"/>
        <v>0</v>
      </c>
      <c r="D343" s="8">
        <f t="shared" si="36"/>
        <v>1555.9134283179421</v>
      </c>
      <c r="E343" s="2">
        <f t="shared" si="37"/>
        <v>500</v>
      </c>
      <c r="F343" s="1">
        <f t="shared" si="39"/>
        <v>0</v>
      </c>
      <c r="G343" s="1">
        <f t="shared" si="38"/>
        <v>0</v>
      </c>
      <c r="H343" s="4">
        <f t="shared" si="40"/>
        <v>0</v>
      </c>
    </row>
    <row r="344" spans="1:8" x14ac:dyDescent="0.25">
      <c r="A344">
        <v>337</v>
      </c>
      <c r="B344" s="1">
        <f t="shared" si="41"/>
        <v>0</v>
      </c>
      <c r="C344" s="8">
        <f t="shared" si="35"/>
        <v>0</v>
      </c>
      <c r="D344" s="8">
        <f t="shared" si="36"/>
        <v>1555.9134283179421</v>
      </c>
      <c r="E344" s="2">
        <f t="shared" si="37"/>
        <v>0</v>
      </c>
      <c r="F344" s="1">
        <f t="shared" si="39"/>
        <v>0</v>
      </c>
      <c r="G344" s="1">
        <f t="shared" si="38"/>
        <v>0</v>
      </c>
      <c r="H344" s="4">
        <f t="shared" si="40"/>
        <v>0</v>
      </c>
    </row>
    <row r="345" spans="1:8" x14ac:dyDescent="0.25">
      <c r="A345">
        <v>338</v>
      </c>
      <c r="B345" s="1">
        <f t="shared" si="41"/>
        <v>0</v>
      </c>
      <c r="C345" s="8">
        <f t="shared" si="35"/>
        <v>0</v>
      </c>
      <c r="D345" s="8">
        <f t="shared" si="36"/>
        <v>1555.9134283179421</v>
      </c>
      <c r="E345" s="2">
        <f t="shared" si="37"/>
        <v>0</v>
      </c>
      <c r="F345" s="1">
        <f t="shared" si="39"/>
        <v>0</v>
      </c>
      <c r="G345" s="1">
        <f t="shared" si="38"/>
        <v>0</v>
      </c>
      <c r="H345" s="4">
        <f t="shared" si="40"/>
        <v>0</v>
      </c>
    </row>
    <row r="346" spans="1:8" x14ac:dyDescent="0.25">
      <c r="A346">
        <v>339</v>
      </c>
      <c r="B346" s="1">
        <f t="shared" si="41"/>
        <v>0</v>
      </c>
      <c r="C346" s="8">
        <f t="shared" si="35"/>
        <v>0</v>
      </c>
      <c r="D346" s="8">
        <f t="shared" si="36"/>
        <v>1555.9134283179421</v>
      </c>
      <c r="E346" s="2">
        <f t="shared" si="37"/>
        <v>500</v>
      </c>
      <c r="F346" s="1">
        <f t="shared" si="39"/>
        <v>0</v>
      </c>
      <c r="G346" s="1">
        <f t="shared" si="38"/>
        <v>0</v>
      </c>
      <c r="H346" s="4">
        <f t="shared" si="40"/>
        <v>0</v>
      </c>
    </row>
    <row r="347" spans="1:8" x14ac:dyDescent="0.25">
      <c r="A347">
        <v>340</v>
      </c>
      <c r="B347" s="1">
        <f t="shared" si="41"/>
        <v>0</v>
      </c>
      <c r="C347" s="8">
        <f t="shared" si="35"/>
        <v>0</v>
      </c>
      <c r="D347" s="8">
        <f t="shared" si="36"/>
        <v>1555.9134283179421</v>
      </c>
      <c r="E347" s="2">
        <f t="shared" si="37"/>
        <v>0</v>
      </c>
      <c r="F347" s="1">
        <f t="shared" si="39"/>
        <v>0</v>
      </c>
      <c r="G347" s="1">
        <f t="shared" si="38"/>
        <v>0</v>
      </c>
      <c r="H347" s="4">
        <f t="shared" si="40"/>
        <v>0</v>
      </c>
    </row>
    <row r="348" spans="1:8" x14ac:dyDescent="0.25">
      <c r="A348">
        <v>341</v>
      </c>
      <c r="B348" s="1">
        <f t="shared" si="41"/>
        <v>0</v>
      </c>
      <c r="C348" s="8">
        <f t="shared" si="35"/>
        <v>0</v>
      </c>
      <c r="D348" s="8">
        <f t="shared" si="36"/>
        <v>1555.9134283179421</v>
      </c>
      <c r="E348" s="2">
        <f t="shared" si="37"/>
        <v>0</v>
      </c>
      <c r="F348" s="1">
        <f t="shared" si="39"/>
        <v>0</v>
      </c>
      <c r="G348" s="1">
        <f t="shared" si="38"/>
        <v>0</v>
      </c>
      <c r="H348" s="4">
        <f t="shared" si="40"/>
        <v>0</v>
      </c>
    </row>
    <row r="349" spans="1:8" x14ac:dyDescent="0.25">
      <c r="A349">
        <v>342</v>
      </c>
      <c r="B349" s="1">
        <f t="shared" si="41"/>
        <v>0</v>
      </c>
      <c r="C349" s="8">
        <f t="shared" si="35"/>
        <v>0</v>
      </c>
      <c r="D349" s="8">
        <f t="shared" si="36"/>
        <v>1555.9134283179421</v>
      </c>
      <c r="E349" s="2">
        <f t="shared" si="37"/>
        <v>500</v>
      </c>
      <c r="F349" s="1">
        <f t="shared" si="39"/>
        <v>0</v>
      </c>
      <c r="G349" s="1">
        <f t="shared" si="38"/>
        <v>0</v>
      </c>
      <c r="H349" s="4">
        <f t="shared" si="40"/>
        <v>0</v>
      </c>
    </row>
    <row r="350" spans="1:8" x14ac:dyDescent="0.25">
      <c r="A350">
        <v>343</v>
      </c>
      <c r="B350" s="1">
        <f t="shared" si="41"/>
        <v>0</v>
      </c>
      <c r="C350" s="8">
        <f t="shared" si="35"/>
        <v>0</v>
      </c>
      <c r="D350" s="8">
        <f t="shared" si="36"/>
        <v>1555.9134283179421</v>
      </c>
      <c r="E350" s="2">
        <f t="shared" si="37"/>
        <v>0</v>
      </c>
      <c r="F350" s="1">
        <f t="shared" si="39"/>
        <v>0</v>
      </c>
      <c r="G350" s="1">
        <f t="shared" si="38"/>
        <v>0</v>
      </c>
      <c r="H350" s="4">
        <f t="shared" si="40"/>
        <v>0</v>
      </c>
    </row>
    <row r="351" spans="1:8" x14ac:dyDescent="0.25">
      <c r="A351">
        <v>344</v>
      </c>
      <c r="B351" s="1">
        <f t="shared" si="41"/>
        <v>0</v>
      </c>
      <c r="C351" s="8">
        <f t="shared" si="35"/>
        <v>0</v>
      </c>
      <c r="D351" s="8">
        <f t="shared" si="36"/>
        <v>1555.9134283179421</v>
      </c>
      <c r="E351" s="2">
        <f t="shared" si="37"/>
        <v>0</v>
      </c>
      <c r="F351" s="1">
        <f t="shared" si="39"/>
        <v>0</v>
      </c>
      <c r="G351" s="1">
        <f t="shared" si="38"/>
        <v>0</v>
      </c>
      <c r="H351" s="4">
        <f t="shared" si="40"/>
        <v>0</v>
      </c>
    </row>
    <row r="352" spans="1:8" x14ac:dyDescent="0.25">
      <c r="A352">
        <v>345</v>
      </c>
      <c r="B352" s="1">
        <f t="shared" si="41"/>
        <v>0</v>
      </c>
      <c r="C352" s="8">
        <f t="shared" si="35"/>
        <v>0</v>
      </c>
      <c r="D352" s="8">
        <f t="shared" si="36"/>
        <v>1555.9134283179421</v>
      </c>
      <c r="E352" s="2">
        <f t="shared" si="37"/>
        <v>500</v>
      </c>
      <c r="F352" s="1">
        <f t="shared" si="39"/>
        <v>0</v>
      </c>
      <c r="G352" s="1">
        <f t="shared" si="38"/>
        <v>0</v>
      </c>
      <c r="H352" s="4">
        <f t="shared" si="40"/>
        <v>0</v>
      </c>
    </row>
    <row r="353" spans="1:8" x14ac:dyDescent="0.25">
      <c r="A353">
        <v>346</v>
      </c>
      <c r="B353" s="1">
        <f t="shared" si="41"/>
        <v>0</v>
      </c>
      <c r="C353" s="8">
        <f t="shared" si="35"/>
        <v>0</v>
      </c>
      <c r="D353" s="8">
        <f t="shared" si="36"/>
        <v>1555.9134283179421</v>
      </c>
      <c r="E353" s="2">
        <f t="shared" si="37"/>
        <v>0</v>
      </c>
      <c r="F353" s="1">
        <f t="shared" si="39"/>
        <v>0</v>
      </c>
      <c r="G353" s="1">
        <f t="shared" si="38"/>
        <v>0</v>
      </c>
      <c r="H353" s="4">
        <f t="shared" si="40"/>
        <v>0</v>
      </c>
    </row>
    <row r="354" spans="1:8" x14ac:dyDescent="0.25">
      <c r="A354">
        <v>347</v>
      </c>
      <c r="B354" s="1">
        <f t="shared" si="41"/>
        <v>0</v>
      </c>
      <c r="C354" s="8">
        <f t="shared" si="35"/>
        <v>0</v>
      </c>
      <c r="D354" s="8">
        <f t="shared" si="36"/>
        <v>1555.9134283179421</v>
      </c>
      <c r="E354" s="2">
        <f t="shared" si="37"/>
        <v>0</v>
      </c>
      <c r="F354" s="1">
        <f t="shared" si="39"/>
        <v>0</v>
      </c>
      <c r="G354" s="1">
        <f t="shared" si="38"/>
        <v>0</v>
      </c>
      <c r="H354" s="4">
        <f t="shared" si="40"/>
        <v>0</v>
      </c>
    </row>
    <row r="355" spans="1:8" x14ac:dyDescent="0.25">
      <c r="A355">
        <v>348</v>
      </c>
      <c r="B355" s="1">
        <f t="shared" si="41"/>
        <v>0</v>
      </c>
      <c r="C355" s="8">
        <f t="shared" si="35"/>
        <v>0</v>
      </c>
      <c r="D355" s="8">
        <f t="shared" si="36"/>
        <v>1555.9134283179421</v>
      </c>
      <c r="E355" s="2">
        <f t="shared" si="37"/>
        <v>500</v>
      </c>
      <c r="F355" s="1">
        <f t="shared" si="39"/>
        <v>0</v>
      </c>
      <c r="G355" s="1">
        <f t="shared" si="38"/>
        <v>0</v>
      </c>
      <c r="H355" s="4">
        <f t="shared" si="40"/>
        <v>0</v>
      </c>
    </row>
    <row r="356" spans="1:8" x14ac:dyDescent="0.25">
      <c r="A356">
        <v>349</v>
      </c>
      <c r="B356" s="1">
        <f t="shared" si="41"/>
        <v>0</v>
      </c>
      <c r="C356" s="8">
        <f t="shared" si="35"/>
        <v>0</v>
      </c>
      <c r="D356" s="8">
        <f t="shared" si="36"/>
        <v>1555.9134283179421</v>
      </c>
      <c r="E356" s="2">
        <f t="shared" si="37"/>
        <v>0</v>
      </c>
      <c r="F356" s="1">
        <f t="shared" si="39"/>
        <v>0</v>
      </c>
      <c r="G356" s="1">
        <f t="shared" si="38"/>
        <v>0</v>
      </c>
      <c r="H356" s="4">
        <f t="shared" si="40"/>
        <v>0</v>
      </c>
    </row>
    <row r="357" spans="1:8" x14ac:dyDescent="0.25">
      <c r="A357">
        <v>350</v>
      </c>
      <c r="B357" s="1">
        <f t="shared" si="41"/>
        <v>0</v>
      </c>
      <c r="C357" s="8">
        <f t="shared" si="35"/>
        <v>0</v>
      </c>
      <c r="D357" s="8">
        <f t="shared" si="36"/>
        <v>1555.9134283179421</v>
      </c>
      <c r="E357" s="2">
        <f t="shared" si="37"/>
        <v>0</v>
      </c>
      <c r="F357" s="1">
        <f t="shared" si="39"/>
        <v>0</v>
      </c>
      <c r="G357" s="1">
        <f t="shared" si="38"/>
        <v>0</v>
      </c>
      <c r="H357" s="4">
        <f t="shared" si="40"/>
        <v>0</v>
      </c>
    </row>
    <row r="358" spans="1:8" x14ac:dyDescent="0.25">
      <c r="A358">
        <v>351</v>
      </c>
      <c r="B358" s="1">
        <f t="shared" si="41"/>
        <v>0</v>
      </c>
      <c r="C358" s="8">
        <f t="shared" si="35"/>
        <v>0</v>
      </c>
      <c r="D358" s="8">
        <f t="shared" si="36"/>
        <v>1555.9134283179421</v>
      </c>
      <c r="E358" s="2">
        <f t="shared" si="37"/>
        <v>500</v>
      </c>
      <c r="F358" s="1">
        <f t="shared" si="39"/>
        <v>0</v>
      </c>
      <c r="G358" s="1">
        <f t="shared" si="38"/>
        <v>0</v>
      </c>
      <c r="H358" s="4">
        <f t="shared" si="40"/>
        <v>0</v>
      </c>
    </row>
    <row r="359" spans="1:8" x14ac:dyDescent="0.25">
      <c r="A359">
        <v>352</v>
      </c>
      <c r="B359" s="1">
        <f t="shared" si="41"/>
        <v>0</v>
      </c>
      <c r="C359" s="8">
        <f t="shared" si="35"/>
        <v>0</v>
      </c>
      <c r="D359" s="8">
        <f t="shared" si="36"/>
        <v>1555.9134283179421</v>
      </c>
      <c r="E359" s="2">
        <f t="shared" si="37"/>
        <v>0</v>
      </c>
      <c r="F359" s="1">
        <f t="shared" si="39"/>
        <v>0</v>
      </c>
      <c r="G359" s="1">
        <f t="shared" si="38"/>
        <v>0</v>
      </c>
      <c r="H359" s="4">
        <f t="shared" si="40"/>
        <v>0</v>
      </c>
    </row>
    <row r="360" spans="1:8" x14ac:dyDescent="0.25">
      <c r="A360">
        <v>353</v>
      </c>
      <c r="B360" s="1">
        <f t="shared" si="41"/>
        <v>0</v>
      </c>
      <c r="C360" s="8">
        <f t="shared" si="35"/>
        <v>0</v>
      </c>
      <c r="D360" s="8">
        <f t="shared" si="36"/>
        <v>1555.9134283179421</v>
      </c>
      <c r="E360" s="2">
        <f t="shared" si="37"/>
        <v>0</v>
      </c>
      <c r="F360" s="1">
        <f t="shared" si="39"/>
        <v>0</v>
      </c>
      <c r="G360" s="1">
        <f t="shared" si="38"/>
        <v>0</v>
      </c>
      <c r="H360" s="4">
        <f t="shared" si="40"/>
        <v>0</v>
      </c>
    </row>
    <row r="361" spans="1:8" x14ac:dyDescent="0.25">
      <c r="A361">
        <v>354</v>
      </c>
      <c r="B361" s="1">
        <f t="shared" si="41"/>
        <v>0</v>
      </c>
      <c r="C361" s="8">
        <f t="shared" si="35"/>
        <v>0</v>
      </c>
      <c r="D361" s="8">
        <f t="shared" si="36"/>
        <v>1555.9134283179421</v>
      </c>
      <c r="E361" s="2">
        <f t="shared" si="37"/>
        <v>500</v>
      </c>
      <c r="F361" s="1">
        <f t="shared" si="39"/>
        <v>0</v>
      </c>
      <c r="G361" s="1">
        <f t="shared" si="38"/>
        <v>0</v>
      </c>
      <c r="H361" s="4">
        <f t="shared" si="40"/>
        <v>0</v>
      </c>
    </row>
    <row r="362" spans="1:8" x14ac:dyDescent="0.25">
      <c r="A362">
        <v>355</v>
      </c>
      <c r="B362" s="1">
        <f t="shared" si="41"/>
        <v>0</v>
      </c>
      <c r="C362" s="8">
        <f t="shared" si="35"/>
        <v>0</v>
      </c>
      <c r="D362" s="8">
        <f t="shared" si="36"/>
        <v>1555.9134283179421</v>
      </c>
      <c r="E362" s="2">
        <f t="shared" si="37"/>
        <v>0</v>
      </c>
      <c r="F362" s="1">
        <f t="shared" si="39"/>
        <v>0</v>
      </c>
      <c r="G362" s="1">
        <f t="shared" si="38"/>
        <v>0</v>
      </c>
      <c r="H362" s="4">
        <f t="shared" si="40"/>
        <v>0</v>
      </c>
    </row>
    <row r="363" spans="1:8" x14ac:dyDescent="0.25">
      <c r="A363">
        <v>356</v>
      </c>
      <c r="B363" s="1">
        <f t="shared" si="41"/>
        <v>0</v>
      </c>
      <c r="C363" s="8">
        <f t="shared" si="35"/>
        <v>0</v>
      </c>
      <c r="D363" s="8">
        <f t="shared" si="36"/>
        <v>1555.9134283179421</v>
      </c>
      <c r="E363" s="2">
        <f t="shared" si="37"/>
        <v>0</v>
      </c>
      <c r="F363" s="1">
        <f t="shared" si="39"/>
        <v>0</v>
      </c>
      <c r="G363" s="1">
        <f t="shared" si="38"/>
        <v>0</v>
      </c>
      <c r="H363" s="4">
        <f t="shared" si="40"/>
        <v>0</v>
      </c>
    </row>
    <row r="364" spans="1:8" x14ac:dyDescent="0.25">
      <c r="A364">
        <v>357</v>
      </c>
      <c r="B364" s="1">
        <f t="shared" si="41"/>
        <v>0</v>
      </c>
      <c r="C364" s="8">
        <f t="shared" si="35"/>
        <v>0</v>
      </c>
      <c r="D364" s="8">
        <f t="shared" si="36"/>
        <v>1555.9134283179421</v>
      </c>
      <c r="E364" s="2">
        <f t="shared" si="37"/>
        <v>500</v>
      </c>
      <c r="F364" s="1">
        <f t="shared" si="39"/>
        <v>0</v>
      </c>
      <c r="G364" s="1">
        <f t="shared" si="38"/>
        <v>0</v>
      </c>
      <c r="H364" s="4">
        <f t="shared" si="40"/>
        <v>0</v>
      </c>
    </row>
    <row r="365" spans="1:8" x14ac:dyDescent="0.25">
      <c r="A365">
        <v>358</v>
      </c>
      <c r="B365" s="1">
        <f t="shared" si="41"/>
        <v>0</v>
      </c>
      <c r="C365" s="8">
        <f t="shared" si="35"/>
        <v>0</v>
      </c>
      <c r="D365" s="8">
        <f t="shared" si="36"/>
        <v>1555.9134283179421</v>
      </c>
      <c r="E365" s="2">
        <f t="shared" si="37"/>
        <v>0</v>
      </c>
      <c r="F365" s="1">
        <f t="shared" si="39"/>
        <v>0</v>
      </c>
      <c r="G365" s="1">
        <f t="shared" si="38"/>
        <v>0</v>
      </c>
      <c r="H365" s="4">
        <f t="shared" si="40"/>
        <v>0</v>
      </c>
    </row>
    <row r="366" spans="1:8" x14ac:dyDescent="0.25">
      <c r="A366">
        <v>359</v>
      </c>
      <c r="B366" s="1">
        <f t="shared" si="41"/>
        <v>0</v>
      </c>
      <c r="C366" s="8">
        <f t="shared" si="35"/>
        <v>0</v>
      </c>
      <c r="D366" s="8">
        <f t="shared" si="36"/>
        <v>1555.9134283179421</v>
      </c>
      <c r="E366" s="2">
        <f t="shared" si="37"/>
        <v>0</v>
      </c>
      <c r="F366" s="1">
        <f t="shared" si="39"/>
        <v>0</v>
      </c>
      <c r="G366" s="1">
        <f t="shared" si="38"/>
        <v>0</v>
      </c>
      <c r="H366" s="4">
        <f t="shared" si="40"/>
        <v>0</v>
      </c>
    </row>
    <row r="367" spans="1:8" x14ac:dyDescent="0.25">
      <c r="A367">
        <v>360</v>
      </c>
      <c r="B367" s="1">
        <f t="shared" si="41"/>
        <v>0</v>
      </c>
      <c r="C367" s="8">
        <f t="shared" si="35"/>
        <v>0</v>
      </c>
      <c r="D367" s="8">
        <f t="shared" si="36"/>
        <v>1555.9134283179421</v>
      </c>
      <c r="E367" s="2">
        <f t="shared" si="37"/>
        <v>500</v>
      </c>
      <c r="F367" s="1">
        <f t="shared" si="39"/>
        <v>0</v>
      </c>
      <c r="G367" s="1">
        <f t="shared" si="38"/>
        <v>0</v>
      </c>
      <c r="H367" s="4">
        <f t="shared" si="40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Dashboard</vt:lpstr>
      <vt:lpstr>Amortization Schedule</vt:lpstr>
      <vt:lpstr>extrapmt</vt:lpstr>
      <vt:lpstr>int</vt:lpstr>
      <vt:lpstr>interval</vt:lpstr>
      <vt:lpstr>n</vt:lpstr>
      <vt:lpstr>P</vt:lpstr>
      <vt:lpstr>pmt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Ashik Uz Zaman</cp:lastModifiedBy>
  <dcterms:created xsi:type="dcterms:W3CDTF">2021-01-20T02:11:53Z</dcterms:created>
  <dcterms:modified xsi:type="dcterms:W3CDTF">2023-09-08T03:35:59Z</dcterms:modified>
</cp:coreProperties>
</file>