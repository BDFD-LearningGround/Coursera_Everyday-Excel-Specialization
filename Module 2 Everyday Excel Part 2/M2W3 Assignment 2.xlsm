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Desktop\"/>
    </mc:Choice>
  </mc:AlternateContent>
  <xr:revisionPtr revIDLastSave="0" documentId="13_ncr:1_{86D22FF4-38A4-4FE6-8287-FF5CF25AA772}" xr6:coauthVersionLast="46" xr6:coauthVersionMax="46" xr10:uidLastSave="{00000000-0000-0000-0000-000000000000}"/>
  <bookViews>
    <workbookView xWindow="7890" yWindow="3165" windowWidth="26655" windowHeight="15540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1" l="1"/>
  <c r="C13" i="1"/>
  <c r="C14" i="1"/>
  <c r="C15" i="1"/>
  <c r="C16" i="1"/>
  <c r="C17" i="1"/>
  <c r="C18" i="1"/>
  <c r="C19" i="1"/>
  <c r="C20" i="1"/>
  <c r="C21" i="1"/>
  <c r="C22" i="1"/>
  <c r="C11" i="1"/>
  <c r="D12" i="1"/>
  <c r="D13" i="1"/>
  <c r="D14" i="1"/>
  <c r="D15" i="1"/>
  <c r="D16" i="1"/>
  <c r="D17" i="1"/>
  <c r="D18" i="1"/>
  <c r="D19" i="1"/>
  <c r="D20" i="1"/>
  <c r="D21" i="1"/>
  <c r="D22" i="1"/>
  <c r="D11" i="1"/>
  <c r="G22" i="1" l="1"/>
  <c r="E22" i="1" s="1"/>
  <c r="G20" i="1"/>
  <c r="E20" i="1" s="1"/>
  <c r="G19" i="1"/>
  <c r="E19" i="1" s="1"/>
  <c r="G11" i="1"/>
  <c r="E11" i="1" s="1"/>
  <c r="G21" i="1"/>
  <c r="E21" i="1" s="1"/>
  <c r="G18" i="1"/>
  <c r="E18" i="1" s="1"/>
  <c r="G17" i="1"/>
  <c r="E17" i="1" s="1"/>
  <c r="G16" i="1"/>
  <c r="E16" i="1" s="1"/>
  <c r="G15" i="1"/>
  <c r="E15" i="1" s="1"/>
  <c r="G14" i="1"/>
  <c r="E14" i="1" s="1"/>
  <c r="G13" i="1"/>
  <c r="E13" i="1" s="1"/>
  <c r="G12" i="1"/>
  <c r="E12" i="1" s="1"/>
  <c r="E23" i="1" l="1"/>
</calcChain>
</file>

<file path=xl/sharedStrings.xml><?xml version="1.0" encoding="utf-8"?>
<sst xmlns="http://schemas.openxmlformats.org/spreadsheetml/2006/main" count="14" uniqueCount="14">
  <si>
    <t>Assignment 3.2</t>
  </si>
  <si>
    <t>Year</t>
  </si>
  <si>
    <t>Purchase cost:</t>
  </si>
  <si>
    <t>Salvage value:</t>
  </si>
  <si>
    <t>Overhaul:</t>
  </si>
  <si>
    <t>every x yrs:</t>
  </si>
  <si>
    <t>Overhaul Cost</t>
  </si>
  <si>
    <t>O&amp;M cost:</t>
  </si>
  <si>
    <t>PV</t>
  </si>
  <si>
    <t>Interest rate:</t>
  </si>
  <si>
    <t>NPV:</t>
  </si>
  <si>
    <t>O &amp; M</t>
  </si>
  <si>
    <t>*Do NOT move the location of these cells!</t>
  </si>
  <si>
    <t>Total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</si>
</sst>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4">
    <xf numFmtId="0" fontId="0" fillId="0" borderId="0" xfId="0"/>
    <xf numFmtId="8" fontId="0" fillId="0" borderId="0" xfId="0" applyNumberFormat="1"/>
    <xf numFmtId="0" fontId="2" fillId="0" borderId="0" xfId="0" applyFont="1"/>
    <xf numFmtId="44" fontId="0" fillId="0" borderId="0" xfId="0" applyNumberFormat="1"/>
    <xf numFmtId="0" fontId="0" fillId="0" borderId="3" xfId="0" applyBorder="1"/>
    <xf numFmtId="44" fontId="0" fillId="0" borderId="0" xfId="1" applyFont="1" applyBorder="1"/>
    <xf numFmtId="8" fontId="0" fillId="0" borderId="4" xfId="0" applyNumberFormat="1" applyBorder="1"/>
    <xf numFmtId="0" fontId="0" fillId="0" borderId="5" xfId="0" applyBorder="1"/>
    <xf numFmtId="0" fontId="0" fillId="0" borderId="6" xfId="0" applyBorder="1"/>
    <xf numFmtId="0" fontId="2" fillId="0" borderId="6" xfId="0" applyFont="1" applyBorder="1" applyAlignment="1">
      <alignment horizontal="right"/>
    </xf>
    <xf numFmtId="0" fontId="2" fillId="0" borderId="2" xfId="0" applyFont="1" applyBorder="1" applyAlignment="1">
      <alignment horizontal="right"/>
    </xf>
    <xf numFmtId="0" fontId="2" fillId="0" borderId="3" xfId="0" applyFont="1" applyBorder="1" applyAlignment="1">
      <alignment horizontal="right"/>
    </xf>
    <xf numFmtId="0" fontId="2" fillId="0" borderId="3" xfId="0" quotePrefix="1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164" fontId="0" fillId="2" borderId="4" xfId="1" applyNumberFormat="1" applyFont="1" applyFill="1" applyBorder="1"/>
    <xf numFmtId="165" fontId="0" fillId="2" borderId="7" xfId="2" applyNumberFormat="1" applyFont="1" applyFill="1" applyBorder="1"/>
    <xf numFmtId="164" fontId="0" fillId="2" borderId="1" xfId="1" applyNumberFormat="1" applyFont="1" applyFill="1" applyBorder="1"/>
    <xf numFmtId="0" fontId="0" fillId="2" borderId="1" xfId="0" applyFill="1" applyBorder="1"/>
    <xf numFmtId="8" fontId="0" fillId="3" borderId="1" xfId="0" applyNumberFormat="1" applyFill="1" applyBorder="1"/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 wrapText="1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3</xdr:row>
          <xdr:rowOff>38100</xdr:rowOff>
        </xdr:from>
        <xdr:to>
          <xdr:col>4</xdr:col>
          <xdr:colOff>628650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4"/>
  <sheetViews>
    <sheetView tabSelected="1" workbookViewId="0">
      <selection activeCell="E24" sqref="E24"/>
    </sheetView>
  </sheetViews>
  <sheetFormatPr defaultRowHeight="15" x14ac:dyDescent="0.25"/>
  <cols>
    <col min="2" max="2" width="14.42578125" customWidth="1"/>
    <col min="3" max="4" width="11.85546875" bestFit="1" customWidth="1"/>
    <col min="5" max="5" width="12.5703125" bestFit="1" customWidth="1"/>
    <col min="6" max="6" width="11.28515625" bestFit="1" customWidth="1"/>
    <col min="7" max="7" width="11.5703125" bestFit="1" customWidth="1"/>
  </cols>
  <sheetData>
    <row r="1" spans="1:7" x14ac:dyDescent="0.25">
      <c r="A1" s="2" t="s">
        <v>0</v>
      </c>
    </row>
    <row r="2" spans="1:7" ht="15.75" thickBot="1" x14ac:dyDescent="0.3"/>
    <row r="3" spans="1:7" ht="15.75" thickBot="1" x14ac:dyDescent="0.3">
      <c r="B3" s="10" t="s">
        <v>2</v>
      </c>
      <c r="C3" s="16">
        <v>250000</v>
      </c>
    </row>
    <row r="4" spans="1:7" ht="15.75" thickBot="1" x14ac:dyDescent="0.3">
      <c r="B4" s="11" t="s">
        <v>3</v>
      </c>
      <c r="C4" s="16">
        <v>20000</v>
      </c>
    </row>
    <row r="5" spans="1:7" ht="15.75" thickBot="1" x14ac:dyDescent="0.3">
      <c r="B5" s="11" t="s">
        <v>4</v>
      </c>
      <c r="C5" s="16">
        <v>25000</v>
      </c>
    </row>
    <row r="6" spans="1:7" ht="15.75" thickBot="1" x14ac:dyDescent="0.3">
      <c r="B6" s="12" t="s">
        <v>5</v>
      </c>
      <c r="C6" s="17">
        <v>4</v>
      </c>
    </row>
    <row r="7" spans="1:7" x14ac:dyDescent="0.25">
      <c r="B7" s="11" t="s">
        <v>7</v>
      </c>
      <c r="C7" s="14">
        <v>20000</v>
      </c>
    </row>
    <row r="8" spans="1:7" x14ac:dyDescent="0.25">
      <c r="B8" s="13" t="s">
        <v>9</v>
      </c>
      <c r="C8" s="15">
        <v>0.05</v>
      </c>
    </row>
    <row r="10" spans="1:7" ht="30.75" thickBot="1" x14ac:dyDescent="0.3">
      <c r="B10" s="19" t="s">
        <v>1</v>
      </c>
      <c r="C10" s="20" t="s">
        <v>6</v>
      </c>
      <c r="D10" s="21" t="s">
        <v>11</v>
      </c>
      <c r="E10" s="22" t="s">
        <v>8</v>
      </c>
      <c r="G10" s="23" t="s">
        <v>13</v>
      </c>
    </row>
    <row r="11" spans="1:7" ht="15.75" thickTop="1" x14ac:dyDescent="0.25">
      <c r="B11" s="4">
        <v>1</v>
      </c>
      <c r="C11" s="5">
        <f>IF(MOD(B11,$C$6)=0,$C$5,0)</f>
        <v>0</v>
      </c>
      <c r="D11" s="5">
        <f>$C$7</f>
        <v>20000</v>
      </c>
      <c r="E11" s="6">
        <f>PV($C$8,B11,0,G11)</f>
        <v>-19047.619047619046</v>
      </c>
      <c r="G11" s="3">
        <f>C11+D11</f>
        <v>20000</v>
      </c>
    </row>
    <row r="12" spans="1:7" x14ac:dyDescent="0.25">
      <c r="B12" s="4">
        <v>2</v>
      </c>
      <c r="C12" s="5">
        <f t="shared" ref="C12:C22" si="0">IF(MOD(B12,$C$6)=0,$C$5,0)</f>
        <v>0</v>
      </c>
      <c r="D12" s="5">
        <f t="shared" ref="D12:D22" si="1">$C$7</f>
        <v>20000</v>
      </c>
      <c r="E12" s="6">
        <f t="shared" ref="E12:E22" si="2">PV($C$8,B12,0,G12)</f>
        <v>-18140.589569160999</v>
      </c>
      <c r="G12" s="3">
        <f t="shared" ref="G12:G22" si="3">C12+D12</f>
        <v>20000</v>
      </c>
    </row>
    <row r="13" spans="1:7" x14ac:dyDescent="0.25">
      <c r="B13" s="4">
        <v>3</v>
      </c>
      <c r="C13" s="5">
        <f t="shared" si="0"/>
        <v>0</v>
      </c>
      <c r="D13" s="5">
        <f t="shared" si="1"/>
        <v>20000</v>
      </c>
      <c r="E13" s="6">
        <f t="shared" si="2"/>
        <v>-17276.751970629521</v>
      </c>
      <c r="G13" s="3">
        <f t="shared" si="3"/>
        <v>20000</v>
      </c>
    </row>
    <row r="14" spans="1:7" x14ac:dyDescent="0.25">
      <c r="B14" s="4">
        <v>4</v>
      </c>
      <c r="C14" s="5">
        <f t="shared" si="0"/>
        <v>25000</v>
      </c>
      <c r="D14" s="5">
        <f t="shared" si="1"/>
        <v>20000</v>
      </c>
      <c r="E14" s="6">
        <f t="shared" si="2"/>
        <v>-37021.611365634686</v>
      </c>
      <c r="G14" s="3">
        <f t="shared" si="3"/>
        <v>45000</v>
      </c>
    </row>
    <row r="15" spans="1:7" x14ac:dyDescent="0.25">
      <c r="B15" s="4">
        <v>5</v>
      </c>
      <c r="C15" s="5">
        <f t="shared" si="0"/>
        <v>0</v>
      </c>
      <c r="D15" s="5">
        <f t="shared" si="1"/>
        <v>20000</v>
      </c>
      <c r="E15" s="6">
        <f t="shared" si="2"/>
        <v>-15670.523329369178</v>
      </c>
      <c r="G15" s="3">
        <f t="shared" si="3"/>
        <v>20000</v>
      </c>
    </row>
    <row r="16" spans="1:7" x14ac:dyDescent="0.25">
      <c r="B16" s="4">
        <v>6</v>
      </c>
      <c r="C16" s="5">
        <f t="shared" si="0"/>
        <v>0</v>
      </c>
      <c r="D16" s="5">
        <f t="shared" si="1"/>
        <v>20000</v>
      </c>
      <c r="E16" s="6">
        <f t="shared" si="2"/>
        <v>-14924.307932732554</v>
      </c>
      <c r="G16" s="3">
        <f t="shared" si="3"/>
        <v>20000</v>
      </c>
    </row>
    <row r="17" spans="2:7" x14ac:dyDescent="0.25">
      <c r="B17" s="4">
        <v>7</v>
      </c>
      <c r="C17" s="5">
        <f t="shared" si="0"/>
        <v>0</v>
      </c>
      <c r="D17" s="5">
        <f t="shared" si="1"/>
        <v>20000</v>
      </c>
      <c r="E17" s="6">
        <f t="shared" si="2"/>
        <v>-14213.62660260243</v>
      </c>
      <c r="G17" s="3">
        <f t="shared" si="3"/>
        <v>20000</v>
      </c>
    </row>
    <row r="18" spans="2:7" x14ac:dyDescent="0.25">
      <c r="B18" s="4">
        <v>8</v>
      </c>
      <c r="C18" s="5">
        <f t="shared" si="0"/>
        <v>25000</v>
      </c>
      <c r="D18" s="5">
        <f t="shared" si="1"/>
        <v>20000</v>
      </c>
      <c r="E18" s="6">
        <f t="shared" si="2"/>
        <v>-30457.771291290923</v>
      </c>
      <c r="G18" s="3">
        <f t="shared" si="3"/>
        <v>45000</v>
      </c>
    </row>
    <row r="19" spans="2:7" x14ac:dyDescent="0.25">
      <c r="B19" s="4">
        <v>9</v>
      </c>
      <c r="C19" s="5">
        <f t="shared" si="0"/>
        <v>0</v>
      </c>
      <c r="D19" s="5">
        <f t="shared" si="1"/>
        <v>20000</v>
      </c>
      <c r="E19" s="6">
        <f t="shared" si="2"/>
        <v>-12892.178324355946</v>
      </c>
      <c r="G19" s="3">
        <f t="shared" si="3"/>
        <v>20000</v>
      </c>
    </row>
    <row r="20" spans="2:7" x14ac:dyDescent="0.25">
      <c r="B20" s="4">
        <v>10</v>
      </c>
      <c r="C20" s="5">
        <f t="shared" si="0"/>
        <v>0</v>
      </c>
      <c r="D20" s="5">
        <f t="shared" si="1"/>
        <v>20000</v>
      </c>
      <c r="E20" s="6">
        <f t="shared" si="2"/>
        <v>-12278.265070815187</v>
      </c>
      <c r="G20" s="3">
        <f t="shared" si="3"/>
        <v>20000</v>
      </c>
    </row>
    <row r="21" spans="2:7" x14ac:dyDescent="0.25">
      <c r="B21" s="4">
        <v>11</v>
      </c>
      <c r="C21" s="5">
        <f t="shared" si="0"/>
        <v>0</v>
      </c>
      <c r="D21" s="5">
        <f t="shared" si="1"/>
        <v>20000</v>
      </c>
      <c r="E21" s="6">
        <f t="shared" si="2"/>
        <v>-11693.585781728749</v>
      </c>
      <c r="G21" s="3">
        <f t="shared" si="3"/>
        <v>20000</v>
      </c>
    </row>
    <row r="22" spans="2:7" ht="15.75" thickBot="1" x14ac:dyDescent="0.3">
      <c r="B22" s="4">
        <v>12</v>
      </c>
      <c r="C22" s="5">
        <f t="shared" si="0"/>
        <v>25000</v>
      </c>
      <c r="D22" s="5">
        <f t="shared" si="1"/>
        <v>20000</v>
      </c>
      <c r="E22" s="6">
        <f t="shared" si="2"/>
        <v>-13920.935454438988</v>
      </c>
      <c r="G22" s="3">
        <f>C22+D22-C4</f>
        <v>25000</v>
      </c>
    </row>
    <row r="23" spans="2:7" ht="15.75" thickBot="1" x14ac:dyDescent="0.3">
      <c r="B23" s="7"/>
      <c r="C23" s="8"/>
      <c r="D23" s="9" t="s">
        <v>10</v>
      </c>
      <c r="E23" s="18">
        <f>SUM(E11:E22)-C3</f>
        <v>-467537.76574037824</v>
      </c>
      <c r="G23" s="1"/>
    </row>
    <row r="24" spans="2:7" x14ac:dyDescent="0.25">
      <c r="B24" t="s">
        <v>12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de">
                <anchor moveWithCells="1" sizeWithCells="1">
                  <from>
                    <xdr:col>3</xdr:col>
                    <xdr:colOff>590550</xdr:colOff>
                    <xdr:row>3</xdr:row>
                    <xdr:rowOff>38100</xdr:rowOff>
                  </from>
                  <to>
                    <xdr:col>4</xdr:col>
                    <xdr:colOff>628650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David Chen</cp:lastModifiedBy>
  <dcterms:created xsi:type="dcterms:W3CDTF">2020-04-23T22:58:05Z</dcterms:created>
  <dcterms:modified xsi:type="dcterms:W3CDTF">2021-03-10T05:38:46Z</dcterms:modified>
</cp:coreProperties>
</file>