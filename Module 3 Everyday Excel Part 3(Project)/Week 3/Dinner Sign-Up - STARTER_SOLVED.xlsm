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8_{1A1D6EA1-C2F6-4336-82A2-DFDB755F9368}" xr6:coauthVersionLast="47" xr6:coauthVersionMax="47" xr10:uidLastSave="{00000000-0000-0000-0000-000000000000}"/>
  <bookViews>
    <workbookView xWindow="-120" yWindow="-120" windowWidth="29040" windowHeight="15840" xr2:uid="{0A4BB2F5-B9F5-43D5-8241-99D3F09C68B4}"/>
  </bookViews>
  <sheets>
    <sheet name="FINAL Selections" sheetId="2" r:id="rId1"/>
    <sheet name="Raw Data" sheetId="1" r:id="rId2"/>
    <sheet name="Original Data" sheetId="3" r:id="rId3"/>
  </sheets>
  <externalReferences>
    <externalReference r:id="rId4"/>
    <externalReference r:id="rId5"/>
  </externalReferences>
  <definedNames>
    <definedName name="appetizers">[1]Sheet1!$G$5:$G$9</definedName>
    <definedName name="beverages">[1]Sheet1!$G$10:$G$13</definedName>
    <definedName name="desserts">[1]Sheet1!$G$20:$G$22</definedName>
    <definedName name="Guest">OFFSET('[2]Raw Data'!$D$6,0,0,COUNTA('[2]Raw Data'!$C:$C)-1,1)</definedName>
    <definedName name="Guest?">'Raw Data'!$D$5:$D$41</definedName>
    <definedName name="GuestFlipped">_xlfn.ANCHORARRAY('[2]Raw Data'!$I$6)</definedName>
    <definedName name="Item">OFFSET('[2]Raw Data'!$C$6,0,0,COUNTA('[2]Raw Data'!$C:$C)-1,1)</definedName>
    <definedName name="ItemFlipped">_xlfn.ANCHORARRAY('[2]Raw Data'!$H$6)</definedName>
    <definedName name="main_courses">[1]Sheet1!$G$16:$G$19</definedName>
    <definedName name="Name">OFFSET('[2]Raw Data'!$B$6,0,0,COUNTA('[2]Raw Data'!$B:$B)-1,1)</definedName>
    <definedName name="NameFlipped">_xlfn.ANCHORARRAY('[2]Raw Data'!$G$6)</definedName>
    <definedName name="Timestamp">'Raw Data'!$A$5:$A$41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" l="1" a="1"/>
  <c r="G6" i="1" s="1"/>
  <c r="I6" i="1" s="1" a="1"/>
  <c r="I6" i="1" s="1"/>
  <c r="H6" i="1" l="1" a="1"/>
  <c r="H6" i="1" s="1"/>
  <c r="B2" i="2" s="1" a="1"/>
  <c r="B2" i="2" s="1"/>
  <c r="A2" i="2" a="1"/>
  <c r="A2" i="2" s="1"/>
  <c r="C2" i="2" a="1"/>
  <c r="C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<sst xmlns="http://schemas.openxmlformats.org/spreadsheetml/2006/main" count="301" uniqueCount="76">
  <si>
    <t>Timestamp</t>
  </si>
  <si>
    <t>2020/08/17 4:26:49 PM CDT</t>
  </si>
  <si>
    <t>2020/08/17 5:04:06 PM CDT</t>
  </si>
  <si>
    <t>2020/08/17 5:17:45 PM CDT</t>
  </si>
  <si>
    <t>2020/08/17 5:18:21 PM CDT</t>
  </si>
  <si>
    <t>2020/08/17 5:24:12 PM CDT</t>
  </si>
  <si>
    <t>2020/08/17 5:39:30 PM CDT</t>
  </si>
  <si>
    <t>2020/08/17 6:02:50 PM CDT</t>
  </si>
  <si>
    <t>2020/08/17 6:25:20 PM CDT</t>
  </si>
  <si>
    <t>2020/08/17 6:25:48 PM CDT</t>
  </si>
  <si>
    <t>2020/08/17 7:09:24 PM CDT</t>
  </si>
  <si>
    <t>2020/08/17 7:09:39 PM CDT</t>
  </si>
  <si>
    <t>2020/08/17 7:14:57 PM CDT</t>
  </si>
  <si>
    <t>2020/08/17 7:50:46 PM CDT</t>
  </si>
  <si>
    <t>2020/08/17 7:54:38 PM CDT</t>
  </si>
  <si>
    <t>2020/08/17 10:07:29 PM CDT</t>
  </si>
  <si>
    <t>2020/08/18 6:32:54 AM CDT</t>
  </si>
  <si>
    <t>2020/08/18 7:18:33 AM CDT</t>
  </si>
  <si>
    <t>2020/08/18 7:35:42 AM CDT</t>
  </si>
  <si>
    <t>2020/08/18 8:15:09 AM CDT</t>
  </si>
  <si>
    <t>2020/08/18 8:28:27 AM CDT</t>
  </si>
  <si>
    <t>2020/08/18 9:09:20 AM CDT</t>
  </si>
  <si>
    <t>2020/08/18 9:22:18 AM CDT</t>
  </si>
  <si>
    <t>2020/08/18 10:11:35 AM CDT</t>
  </si>
  <si>
    <t>2020/08/18 10:24:32 AM CDT</t>
  </si>
  <si>
    <t>2020/08/18 10:39:07 AM CDT</t>
  </si>
  <si>
    <t>2020/08/18 10:54:47 AM CDT</t>
  </si>
  <si>
    <t>Name</t>
  </si>
  <si>
    <t>Item</t>
  </si>
  <si>
    <t>Mickey Mouse</t>
  </si>
  <si>
    <t>Cheese</t>
  </si>
  <si>
    <t>Elmer Fudd</t>
  </si>
  <si>
    <t>Chicken tetrazzini</t>
  </si>
  <si>
    <t>Donald Duck</t>
  </si>
  <si>
    <t>Wine</t>
  </si>
  <si>
    <t>Yosemite Sam</t>
  </si>
  <si>
    <t>Beer</t>
  </si>
  <si>
    <t>Road Runner</t>
  </si>
  <si>
    <t>Celery</t>
  </si>
  <si>
    <t>Lola Bunny</t>
  </si>
  <si>
    <t>Steak</t>
  </si>
  <si>
    <t>Chips</t>
  </si>
  <si>
    <t>Wile E. Coyote</t>
  </si>
  <si>
    <t>Nachos</t>
  </si>
  <si>
    <t>Bugs Bunny</t>
  </si>
  <si>
    <t>Brownies</t>
  </si>
  <si>
    <t>Daffy Duck</t>
  </si>
  <si>
    <t>Cola</t>
  </si>
  <si>
    <t>Ice Cream</t>
  </si>
  <si>
    <t>Milk</t>
  </si>
  <si>
    <t>Gabby Goat</t>
  </si>
  <si>
    <t>Porky Pig</t>
  </si>
  <si>
    <t>Cake</t>
  </si>
  <si>
    <t>Minnie Mouse</t>
  </si>
  <si>
    <t>Guest?</t>
  </si>
  <si>
    <t>2020/08/18 11:08:23 AM CDT</t>
  </si>
  <si>
    <t>2020/08/18 11:16:43 AM CDT</t>
  </si>
  <si>
    <t>2020/08/18 11:18:09 AM CDT</t>
  </si>
  <si>
    <t>2020/08/18 11:19:29 AM CDT</t>
  </si>
  <si>
    <t>2020/08/18 11:32:51 AM CDT</t>
  </si>
  <si>
    <t>2020/08/18 11:46:22 AM CDT</t>
  </si>
  <si>
    <t>2020/08/18 11:48:04 AM CDT</t>
  </si>
  <si>
    <t>2020/08/18 11:52:34 AM CDT</t>
  </si>
  <si>
    <t>2020/08/18 11:59:59 AM CDT</t>
  </si>
  <si>
    <t>Yes</t>
  </si>
  <si>
    <t>No</t>
  </si>
  <si>
    <t>*Your final solution/results should appear in columns A, B, and C</t>
  </si>
  <si>
    <t>*Your solution must auto-update!  In other words, if the raw data</t>
  </si>
  <si>
    <t>RAW DATA - The data here is the raw data from the Google Form export</t>
  </si>
  <si>
    <t>Do NOT modify or change the location of any of the data in columns A --&gt; E</t>
  </si>
  <si>
    <t>--&gt; Your work should be done starting in Column F</t>
  </si>
  <si>
    <t xml:space="preserve">on the "Raw Data" worksheet is modified (or the results of a new </t>
  </si>
  <si>
    <t xml:space="preserve">survey in the future are re-downloaded), then everything needs to </t>
  </si>
  <si>
    <t>*The GRADE button will test the ability of your formulas to update in a LIVE manner!</t>
  </si>
  <si>
    <t>update here in a LIVE fashion! Including data sets of different size.</t>
  </si>
  <si>
    <t>*The Name column must be in alphabetical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</si>
</sst>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12</xdr:row>
          <xdr:rowOff>9525</xdr:rowOff>
        </xdr:from>
        <xdr:to>
          <xdr:col>7</xdr:col>
          <xdr:colOff>219075</xdr:colOff>
          <xdr:row>15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arlie\Documents\MOOC%20Excel\Part%201\Miscellaneous\Looney%20Tunes%20dinn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arlie\Documents\MOOC%20Excel\Projects\Dinner%20Sign-Up\Dinner%20Sign-Up%20-%20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5">
          <cell r="G5" t="str">
            <v>Carrots</v>
          </cell>
        </row>
        <row r="6">
          <cell r="G6" t="str">
            <v>Celery</v>
          </cell>
        </row>
        <row r="7">
          <cell r="G7" t="str">
            <v>Chips</v>
          </cell>
        </row>
        <row r="8">
          <cell r="G8" t="str">
            <v>Nachos</v>
          </cell>
        </row>
        <row r="9">
          <cell r="G9" t="str">
            <v>Cheese</v>
          </cell>
        </row>
        <row r="10">
          <cell r="G10" t="str">
            <v>Wine</v>
          </cell>
        </row>
        <row r="11">
          <cell r="G11" t="str">
            <v>Beer</v>
          </cell>
        </row>
        <row r="12">
          <cell r="G12" t="str">
            <v>Cola</v>
          </cell>
        </row>
        <row r="13">
          <cell r="G13" t="str">
            <v>Milk</v>
          </cell>
        </row>
        <row r="16">
          <cell r="G16" t="str">
            <v>Steak</v>
          </cell>
        </row>
        <row r="17">
          <cell r="G17" t="str">
            <v>Casserole</v>
          </cell>
        </row>
        <row r="18">
          <cell r="G18" t="str">
            <v>Chicken tetrazzini</v>
          </cell>
        </row>
        <row r="19">
          <cell r="G19" t="str">
            <v>Dumplings</v>
          </cell>
        </row>
        <row r="20">
          <cell r="G20" t="str">
            <v>Brownies</v>
          </cell>
        </row>
        <row r="21">
          <cell r="G21" t="str">
            <v>Cake</v>
          </cell>
        </row>
        <row r="22">
          <cell r="G22" t="str">
            <v>Ice Cream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AL Selections"/>
      <sheetName val="Raw Data"/>
      <sheetName val="Original Data"/>
    </sheetNames>
    <sheetDataSet>
      <sheetData sheetId="0" refreshError="1"/>
      <sheetData sheetId="1" refreshError="1">
        <row r="5">
          <cell r="B5" t="str">
            <v>Name</v>
          </cell>
          <cell r="C5" t="str">
            <v>Item</v>
          </cell>
        </row>
        <row r="6">
          <cell r="B6" t="str">
            <v>Mickey Mouse</v>
          </cell>
          <cell r="C6" t="str">
            <v>Nachos</v>
          </cell>
          <cell r="D6" t="str">
            <v>Yes</v>
          </cell>
          <cell r="G6" t="str">
            <v>Gabby Goat</v>
          </cell>
          <cell r="H6" t="str">
            <v>Milk</v>
          </cell>
          <cell r="I6" t="str">
            <v>Yes</v>
          </cell>
        </row>
        <row r="7">
          <cell r="B7" t="str">
            <v>Elmer Fudd</v>
          </cell>
          <cell r="C7" t="str">
            <v>Steak</v>
          </cell>
        </row>
        <row r="8">
          <cell r="B8" t="str">
            <v>Donald Duck</v>
          </cell>
          <cell r="C8" t="str">
            <v>Celery</v>
          </cell>
        </row>
        <row r="9">
          <cell r="B9" t="str">
            <v>Daffy Duck</v>
          </cell>
          <cell r="C9" t="str">
            <v>Chips</v>
          </cell>
        </row>
        <row r="10">
          <cell r="B10" t="str">
            <v>Daffy Duck</v>
          </cell>
          <cell r="C10" t="str">
            <v>Chips</v>
          </cell>
        </row>
        <row r="11">
          <cell r="B11" t="str">
            <v>Lola Bunny</v>
          </cell>
          <cell r="C11" t="str">
            <v>Chicken tetrazzini</v>
          </cell>
        </row>
        <row r="12">
          <cell r="B12" t="str">
            <v>Lola Bunny</v>
          </cell>
          <cell r="C12" t="str">
            <v>Steak</v>
          </cell>
        </row>
        <row r="13">
          <cell r="B13" t="str">
            <v>Elmer Fudd</v>
          </cell>
          <cell r="C13" t="str">
            <v>Steak</v>
          </cell>
        </row>
        <row r="14">
          <cell r="B14" t="str">
            <v>Minnie Mouse</v>
          </cell>
          <cell r="C14" t="str">
            <v>Milk</v>
          </cell>
        </row>
        <row r="15">
          <cell r="B15" t="str">
            <v>Donald Duck</v>
          </cell>
          <cell r="C15" t="str">
            <v>Celery</v>
          </cell>
        </row>
        <row r="16">
          <cell r="B16" t="str">
            <v>Road Runner</v>
          </cell>
          <cell r="C16" t="str">
            <v>Celery</v>
          </cell>
        </row>
        <row r="17">
          <cell r="B17" t="str">
            <v>Yosemite Sam</v>
          </cell>
          <cell r="C17" t="str">
            <v>Beer</v>
          </cell>
        </row>
        <row r="18">
          <cell r="B18" t="str">
            <v>Porky Pig</v>
          </cell>
          <cell r="C18" t="str">
            <v>Nachos</v>
          </cell>
        </row>
        <row r="19">
          <cell r="B19" t="str">
            <v>Elmer Fudd</v>
          </cell>
          <cell r="C19" t="str">
            <v>Ice Cream</v>
          </cell>
        </row>
        <row r="20">
          <cell r="B20" t="str">
            <v>Elmer Fudd</v>
          </cell>
          <cell r="C20" t="str">
            <v>Ice Cream</v>
          </cell>
        </row>
        <row r="21">
          <cell r="B21" t="str">
            <v>Bugs Bunny</v>
          </cell>
          <cell r="C21" t="str">
            <v>Cake</v>
          </cell>
        </row>
        <row r="22">
          <cell r="B22" t="str">
            <v>Gabby Goat</v>
          </cell>
          <cell r="C22" t="str">
            <v>Steak</v>
          </cell>
        </row>
        <row r="23">
          <cell r="B23" t="str">
            <v>Wile E. Coyote</v>
          </cell>
          <cell r="C23" t="str">
            <v>Milk</v>
          </cell>
        </row>
        <row r="24">
          <cell r="B24" t="str">
            <v>Wile E. Coyote</v>
          </cell>
          <cell r="C24" t="str">
            <v>Cheese</v>
          </cell>
        </row>
        <row r="25">
          <cell r="B25" t="str">
            <v>Bugs Bunny</v>
          </cell>
          <cell r="C25" t="str">
            <v>Ice Cream</v>
          </cell>
        </row>
        <row r="26">
          <cell r="B26" t="str">
            <v>Road Runner</v>
          </cell>
          <cell r="C26" t="str">
            <v>Celery</v>
          </cell>
        </row>
        <row r="27">
          <cell r="B27" t="str">
            <v>Road Runner</v>
          </cell>
          <cell r="C27" t="str">
            <v>Celery</v>
          </cell>
        </row>
        <row r="28">
          <cell r="B28" t="str">
            <v>Donald Duck</v>
          </cell>
          <cell r="C28" t="str">
            <v>Wine</v>
          </cell>
        </row>
        <row r="29">
          <cell r="B29" t="str">
            <v>Donald Duck</v>
          </cell>
          <cell r="C29" t="str">
            <v>Wine</v>
          </cell>
        </row>
        <row r="30">
          <cell r="B30" t="str">
            <v>Yosemite Sam</v>
          </cell>
          <cell r="C30" t="str">
            <v>Beer</v>
          </cell>
        </row>
        <row r="31">
          <cell r="B31" t="str">
            <v>Bugs Bunny</v>
          </cell>
          <cell r="C31" t="str">
            <v>Brownies</v>
          </cell>
        </row>
        <row r="32">
          <cell r="B32" t="str">
            <v>Porky Pig</v>
          </cell>
          <cell r="C32" t="str">
            <v>Nachos</v>
          </cell>
        </row>
        <row r="33">
          <cell r="B33" t="str">
            <v>Mickey Mouse</v>
          </cell>
          <cell r="C33" t="str">
            <v>Cheese</v>
          </cell>
        </row>
        <row r="34">
          <cell r="B34" t="str">
            <v>Wile E. Coyote</v>
          </cell>
          <cell r="C34" t="str">
            <v>Cheese</v>
          </cell>
        </row>
        <row r="35">
          <cell r="B35" t="str">
            <v>Yosemite Sam</v>
          </cell>
          <cell r="C35" t="str">
            <v>Beer</v>
          </cell>
        </row>
        <row r="36">
          <cell r="B36" t="str">
            <v>Mickey Mouse</v>
          </cell>
          <cell r="C36" t="str">
            <v>Cheese</v>
          </cell>
        </row>
        <row r="37">
          <cell r="B37" t="str">
            <v>Minnie Mouse</v>
          </cell>
          <cell r="C37" t="str">
            <v>Cola</v>
          </cell>
        </row>
        <row r="38">
          <cell r="B38" t="str">
            <v>Road Runner</v>
          </cell>
          <cell r="C38" t="str">
            <v>Celery</v>
          </cell>
        </row>
        <row r="39">
          <cell r="B39" t="str">
            <v>Gabby Goat</v>
          </cell>
          <cell r="C39" t="str">
            <v>Steak</v>
          </cell>
        </row>
        <row r="40">
          <cell r="B40" t="str">
            <v>Gabby Goat</v>
          </cell>
          <cell r="C40" t="str">
            <v>Milk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FC6D94-B04F-40E3-96BB-118A02F48EA5}" name="Table2" displayName="Table2" ref="A5:D41" totalsRowShown="0" headerRowDxfId="0">
  <autoFilter ref="A5:D41" xr:uid="{A4FC6D94-B04F-40E3-96BB-118A02F48EA5}">
    <filterColumn colId="0" hiddenButton="1"/>
    <filterColumn colId="1" hiddenButton="1"/>
    <filterColumn colId="2" hiddenButton="1"/>
    <filterColumn colId="3" hiddenButton="1"/>
  </autoFilter>
  <tableColumns count="4">
    <tableColumn id="1" xr3:uid="{4E2D0D98-5FFC-4124-BC0F-9CF00FE89863}" name="Timestamp"/>
    <tableColumn id="2" xr3:uid="{617E9B79-B990-4CC3-A4B8-D4F4CA8781FF}" name="Name"/>
    <tableColumn id="3" xr3:uid="{D9BBB80D-7D8D-433E-96DD-75EEBD556747}" name="Item"/>
    <tableColumn id="4" xr3:uid="{3BCF0C83-E1A0-4FB0-8D5E-94F97321618E}" name="Guest?"/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2130-ADA0-4407-8DC0-3190E8722CD2}">
  <sheetPr codeName="Sheet1"/>
  <dimension ref="A1:E14"/>
  <sheetViews>
    <sheetView tabSelected="1" workbookViewId="0">
      <selection activeCell="B1" sqref="B1"/>
    </sheetView>
  </sheetViews>
  <sheetFormatPr defaultRowHeight="15" x14ac:dyDescent="0.25"/>
  <cols>
    <col min="1" max="1" width="12.140625" bestFit="1" customWidth="1"/>
    <col min="2" max="2" width="10" customWidth="1"/>
  </cols>
  <sheetData>
    <row r="1" spans="1:5" x14ac:dyDescent="0.25">
      <c r="A1" s="1" t="s">
        <v>27</v>
      </c>
      <c r="B1" s="1" t="s">
        <v>28</v>
      </c>
      <c r="C1" s="1" t="s">
        <v>54</v>
      </c>
    </row>
    <row r="2" spans="1:5" x14ac:dyDescent="0.25">
      <c r="A2" t="str" cm="1">
        <f t="array" ref="A2:A14">_xlfn.ANCHORARRAY('Raw Data'!G6)</f>
        <v>Mickey Mouse</v>
      </c>
      <c r="B2" t="str" cm="1">
        <f t="array" ref="B2:B14">_xlfn.ANCHORARRAY('Raw Data'!H6)</f>
        <v>Cheese</v>
      </c>
      <c r="C2" t="str" cm="1">
        <f t="array" ref="C2:C14">_xlfn.ANCHORARRAY('Raw Data'!I6)</f>
        <v>No</v>
      </c>
      <c r="E2" t="s">
        <v>66</v>
      </c>
    </row>
    <row r="3" spans="1:5" x14ac:dyDescent="0.25">
      <c r="A3" t="str">
        <v>Elmer Fudd</v>
      </c>
      <c r="B3" t="str">
        <v>Ice Cream</v>
      </c>
      <c r="C3" t="str">
        <v>Yes</v>
      </c>
    </row>
    <row r="4" spans="1:5" x14ac:dyDescent="0.25">
      <c r="A4" t="str">
        <v>Donald Duck</v>
      </c>
      <c r="B4" t="str">
        <v>Wine</v>
      </c>
      <c r="C4" t="str">
        <v>Yes</v>
      </c>
      <c r="E4" t="s">
        <v>75</v>
      </c>
    </row>
    <row r="5" spans="1:5" x14ac:dyDescent="0.25">
      <c r="A5" t="str">
        <v>Daffy Duck</v>
      </c>
      <c r="B5" t="str">
        <v>Chips</v>
      </c>
      <c r="C5" t="str">
        <v>Yes</v>
      </c>
    </row>
    <row r="6" spans="1:5" x14ac:dyDescent="0.25">
      <c r="A6" t="str">
        <v>Lola Bunny</v>
      </c>
      <c r="B6" t="str">
        <v>Steak</v>
      </c>
      <c r="C6" t="str">
        <v>Yes</v>
      </c>
      <c r="E6" t="s">
        <v>67</v>
      </c>
    </row>
    <row r="7" spans="1:5" x14ac:dyDescent="0.25">
      <c r="A7" t="str">
        <v>Minnie Mouse</v>
      </c>
      <c r="B7" t="str">
        <v>Cola</v>
      </c>
      <c r="C7" t="str">
        <v>No</v>
      </c>
      <c r="E7" t="s">
        <v>71</v>
      </c>
    </row>
    <row r="8" spans="1:5" x14ac:dyDescent="0.25">
      <c r="A8" t="str">
        <v>Road Runner</v>
      </c>
      <c r="B8" t="str">
        <v>Celery</v>
      </c>
      <c r="C8" t="str">
        <v>Yes</v>
      </c>
      <c r="E8" t="s">
        <v>72</v>
      </c>
    </row>
    <row r="9" spans="1:5" x14ac:dyDescent="0.25">
      <c r="A9" t="str">
        <v>Yosemite Sam</v>
      </c>
      <c r="B9" t="str">
        <v>Beer</v>
      </c>
      <c r="C9" t="str">
        <v>No</v>
      </c>
      <c r="E9" t="s">
        <v>74</v>
      </c>
    </row>
    <row r="10" spans="1:5" x14ac:dyDescent="0.25">
      <c r="A10" t="str">
        <v>Porky Pig</v>
      </c>
      <c r="B10" t="str">
        <v>Nachos</v>
      </c>
      <c r="C10" t="str">
        <v>Yes</v>
      </c>
    </row>
    <row r="11" spans="1:5" x14ac:dyDescent="0.25">
      <c r="A11" t="str">
        <v>Bugs Bunny</v>
      </c>
      <c r="B11" t="str">
        <v>Brownies</v>
      </c>
      <c r="C11" t="str">
        <v>Yes</v>
      </c>
      <c r="E11" t="s">
        <v>73</v>
      </c>
    </row>
    <row r="12" spans="1:5" x14ac:dyDescent="0.25">
      <c r="A12" t="str">
        <v>Gabby Goat</v>
      </c>
      <c r="B12" t="str">
        <v>Cheese</v>
      </c>
      <c r="C12" t="str">
        <v>Yes</v>
      </c>
    </row>
    <row r="13" spans="1:5" x14ac:dyDescent="0.25">
      <c r="A13" t="str">
        <v>Wile E. Coyote</v>
      </c>
      <c r="B13" t="str">
        <v>Cheese</v>
      </c>
      <c r="C13" t="str">
        <v>Yes</v>
      </c>
    </row>
    <row r="14" spans="1:5" x14ac:dyDescent="0.25">
      <c r="A14">
        <v>0</v>
      </c>
      <c r="B14" t="str">
        <v/>
      </c>
      <c r="C14" t="e">
        <v>#N/A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5</xdr:col>
                    <xdr:colOff>409575</xdr:colOff>
                    <xdr:row>12</xdr:row>
                    <xdr:rowOff>9525</xdr:rowOff>
                  </from>
                  <to>
                    <xdr:col>7</xdr:col>
                    <xdr:colOff>219075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A8DB-B9CF-45B0-B49F-4903E3273776}">
  <sheetPr codeName="Sheet2"/>
  <dimension ref="A1:Q40"/>
  <sheetViews>
    <sheetView topLeftCell="A4" workbookViewId="0">
      <selection activeCell="I7" sqref="I7"/>
    </sheetView>
  </sheetViews>
  <sheetFormatPr defaultRowHeight="15" x14ac:dyDescent="0.25"/>
  <cols>
    <col min="1" max="1" width="24.85546875" bestFit="1" customWidth="1"/>
    <col min="2" max="2" width="12.140625" bestFit="1" customWidth="1"/>
    <col min="3" max="3" width="14.5703125" bestFit="1" customWidth="1"/>
    <col min="4" max="4" width="9.42578125" customWidth="1"/>
    <col min="5" max="5" width="9" style="2"/>
    <col min="6" max="6" width="11.42578125" bestFit="1" customWidth="1"/>
    <col min="7" max="7" width="14" bestFit="1" customWidth="1"/>
    <col min="8" max="17" width="11.42578125" customWidth="1"/>
  </cols>
  <sheetData>
    <row r="1" spans="1:17" x14ac:dyDescent="0.25">
      <c r="A1" t="s">
        <v>68</v>
      </c>
    </row>
    <row r="2" spans="1:17" x14ac:dyDescent="0.25">
      <c r="F2" s="3" t="s">
        <v>70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25">
      <c r="A3" t="s">
        <v>69</v>
      </c>
    </row>
    <row r="4" spans="1:17" x14ac:dyDescent="0.25">
      <c r="G4" s="5"/>
      <c r="H4" s="5"/>
      <c r="I4" s="5"/>
      <c r="J4" s="4"/>
      <c r="K4" s="4"/>
      <c r="L4" s="4"/>
      <c r="M4" s="4"/>
      <c r="N4" s="4"/>
      <c r="O4" s="4"/>
      <c r="P4" s="4"/>
      <c r="Q4" s="4"/>
    </row>
    <row r="5" spans="1:17" x14ac:dyDescent="0.25">
      <c r="A5" s="1" t="s">
        <v>0</v>
      </c>
      <c r="B5" s="1" t="s">
        <v>27</v>
      </c>
      <c r="C5" s="1" t="s">
        <v>28</v>
      </c>
      <c r="D5" s="1" t="s">
        <v>54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6" t="s">
        <v>1</v>
      </c>
      <c r="B6" s="6" t="s">
        <v>29</v>
      </c>
      <c r="C6" s="6" t="s">
        <v>43</v>
      </c>
      <c r="D6" s="6" t="s">
        <v>64</v>
      </c>
      <c r="G6" t="str" cm="1">
        <f t="array" ref="G6:G18">_xlfn.UNIQUE(B6:B41)</f>
        <v>Mickey Mouse</v>
      </c>
      <c r="H6" t="str" cm="1">
        <f t="array" ref="H6:H18">_xlfn.XLOOKUP(_xlfn.ANCHORARRAY(G6),B6:B41,C6:C41,"",0,-1)</f>
        <v>Cheese</v>
      </c>
      <c r="I6" t="str" cm="1">
        <f t="array" ref="I6:I18">_xlfn.XLOOKUP(_xlfn.ANCHORARRAY(G6),B6:B41,D6:D41,,0,-1)</f>
        <v>No</v>
      </c>
    </row>
    <row r="7" spans="1:17" x14ac:dyDescent="0.25">
      <c r="A7" s="6" t="s">
        <v>2</v>
      </c>
      <c r="B7" s="6" t="s">
        <v>31</v>
      </c>
      <c r="C7" s="6" t="s">
        <v>40</v>
      </c>
      <c r="D7" s="6" t="s">
        <v>65</v>
      </c>
      <c r="G7" t="str">
        <v>Elmer Fudd</v>
      </c>
      <c r="H7" t="str">
        <v>Ice Cream</v>
      </c>
      <c r="I7" t="str">
        <v>Yes</v>
      </c>
    </row>
    <row r="8" spans="1:17" x14ac:dyDescent="0.25">
      <c r="A8" s="6" t="s">
        <v>3</v>
      </c>
      <c r="B8" s="6" t="s">
        <v>33</v>
      </c>
      <c r="C8" s="6" t="s">
        <v>38</v>
      </c>
      <c r="D8" s="6" t="s">
        <v>64</v>
      </c>
      <c r="G8" t="str">
        <v>Donald Duck</v>
      </c>
      <c r="H8" t="str">
        <v>Wine</v>
      </c>
      <c r="I8" t="str">
        <v>Yes</v>
      </c>
    </row>
    <row r="9" spans="1:17" x14ac:dyDescent="0.25">
      <c r="A9" s="6" t="s">
        <v>4</v>
      </c>
      <c r="B9" s="6" t="s">
        <v>46</v>
      </c>
      <c r="C9" s="6" t="s">
        <v>41</v>
      </c>
      <c r="D9" s="6" t="s">
        <v>65</v>
      </c>
      <c r="G9" t="str">
        <v>Daffy Duck</v>
      </c>
      <c r="H9" t="str">
        <v>Chips</v>
      </c>
      <c r="I9" t="str">
        <v>Yes</v>
      </c>
    </row>
    <row r="10" spans="1:17" x14ac:dyDescent="0.25">
      <c r="A10" s="6" t="s">
        <v>5</v>
      </c>
      <c r="B10" s="6" t="s">
        <v>46</v>
      </c>
      <c r="C10" s="6" t="s">
        <v>41</v>
      </c>
      <c r="D10" s="6" t="s">
        <v>64</v>
      </c>
      <c r="G10" t="str">
        <v>Lola Bunny</v>
      </c>
      <c r="H10" t="str">
        <v>Steak</v>
      </c>
      <c r="I10" t="str">
        <v>Yes</v>
      </c>
    </row>
    <row r="11" spans="1:17" x14ac:dyDescent="0.25">
      <c r="A11" s="6" t="s">
        <v>6</v>
      </c>
      <c r="B11" s="6" t="s">
        <v>39</v>
      </c>
      <c r="C11" s="6" t="s">
        <v>32</v>
      </c>
      <c r="D11" s="6" t="s">
        <v>64</v>
      </c>
      <c r="G11" t="str">
        <v>Minnie Mouse</v>
      </c>
      <c r="H11" t="str">
        <v>Cola</v>
      </c>
      <c r="I11" t="str">
        <v>No</v>
      </c>
    </row>
    <row r="12" spans="1:17" x14ac:dyDescent="0.25">
      <c r="A12" s="6" t="s">
        <v>7</v>
      </c>
      <c r="B12" s="6" t="s">
        <v>39</v>
      </c>
      <c r="C12" s="6" t="s">
        <v>40</v>
      </c>
      <c r="D12" s="6" t="s">
        <v>64</v>
      </c>
      <c r="G12" t="str">
        <v>Road Runner</v>
      </c>
      <c r="H12" t="str">
        <v>Celery</v>
      </c>
      <c r="I12" t="str">
        <v>Yes</v>
      </c>
    </row>
    <row r="13" spans="1:17" x14ac:dyDescent="0.25">
      <c r="A13" s="6" t="s">
        <v>8</v>
      </c>
      <c r="B13" s="6" t="s">
        <v>31</v>
      </c>
      <c r="C13" s="6" t="s">
        <v>40</v>
      </c>
      <c r="D13" s="6" t="s">
        <v>64</v>
      </c>
      <c r="G13" t="str">
        <v>Yosemite Sam</v>
      </c>
      <c r="H13" t="str">
        <v>Beer</v>
      </c>
      <c r="I13" t="str">
        <v>No</v>
      </c>
    </row>
    <row r="14" spans="1:17" x14ac:dyDescent="0.25">
      <c r="A14" s="6" t="s">
        <v>9</v>
      </c>
      <c r="B14" s="6" t="s">
        <v>53</v>
      </c>
      <c r="C14" s="6" t="s">
        <v>49</v>
      </c>
      <c r="D14" s="6" t="s">
        <v>65</v>
      </c>
      <c r="G14" t="str">
        <v>Porky Pig</v>
      </c>
      <c r="H14" t="str">
        <v>Nachos</v>
      </c>
      <c r="I14" t="str">
        <v>Yes</v>
      </c>
    </row>
    <row r="15" spans="1:17" x14ac:dyDescent="0.25">
      <c r="A15" s="6" t="s">
        <v>10</v>
      </c>
      <c r="B15" s="6" t="s">
        <v>33</v>
      </c>
      <c r="C15" s="6" t="s">
        <v>38</v>
      </c>
      <c r="D15" s="6" t="s">
        <v>65</v>
      </c>
      <c r="G15" t="str">
        <v>Bugs Bunny</v>
      </c>
      <c r="H15" t="str">
        <v>Brownies</v>
      </c>
      <c r="I15" t="str">
        <v>Yes</v>
      </c>
    </row>
    <row r="16" spans="1:17" x14ac:dyDescent="0.25">
      <c r="A16" s="6" t="s">
        <v>11</v>
      </c>
      <c r="B16" s="6" t="s">
        <v>37</v>
      </c>
      <c r="C16" s="6" t="s">
        <v>38</v>
      </c>
      <c r="D16" s="6" t="s">
        <v>65</v>
      </c>
      <c r="G16" t="str">
        <v>Gabby Goat</v>
      </c>
      <c r="H16" t="str">
        <v>Cheese</v>
      </c>
      <c r="I16" t="str">
        <v>Yes</v>
      </c>
    </row>
    <row r="17" spans="1:9" x14ac:dyDescent="0.25">
      <c r="A17" s="6" t="s">
        <v>12</v>
      </c>
      <c r="B17" s="6" t="s">
        <v>35</v>
      </c>
      <c r="C17" s="6" t="s">
        <v>36</v>
      </c>
      <c r="D17" s="6" t="s">
        <v>65</v>
      </c>
      <c r="G17" t="str">
        <v>Wile E. Coyote</v>
      </c>
      <c r="H17" t="str">
        <v>Cheese</v>
      </c>
      <c r="I17" t="str">
        <v>Yes</v>
      </c>
    </row>
    <row r="18" spans="1:9" x14ac:dyDescent="0.25">
      <c r="A18" s="6" t="s">
        <v>13</v>
      </c>
      <c r="B18" s="6" t="s">
        <v>51</v>
      </c>
      <c r="C18" s="6" t="s">
        <v>43</v>
      </c>
      <c r="D18" s="6" t="s">
        <v>65</v>
      </c>
      <c r="G18">
        <v>0</v>
      </c>
      <c r="H18" t="str">
        <v/>
      </c>
      <c r="I18" t="e">
        <v>#N/A</v>
      </c>
    </row>
    <row r="19" spans="1:9" x14ac:dyDescent="0.25">
      <c r="A19" s="6" t="s">
        <v>14</v>
      </c>
      <c r="B19" s="6" t="s">
        <v>31</v>
      </c>
      <c r="C19" s="6" t="s">
        <v>48</v>
      </c>
      <c r="D19" s="6" t="s">
        <v>64</v>
      </c>
    </row>
    <row r="20" spans="1:9" x14ac:dyDescent="0.25">
      <c r="A20" s="6" t="s">
        <v>15</v>
      </c>
      <c r="B20" s="6" t="s">
        <v>31</v>
      </c>
      <c r="C20" s="6" t="s">
        <v>48</v>
      </c>
      <c r="D20" s="6" t="s">
        <v>64</v>
      </c>
    </row>
    <row r="21" spans="1:9" x14ac:dyDescent="0.25">
      <c r="A21" s="6" t="s">
        <v>16</v>
      </c>
      <c r="B21" s="6" t="s">
        <v>44</v>
      </c>
      <c r="C21" s="6" t="s">
        <v>52</v>
      </c>
      <c r="D21" s="6" t="s">
        <v>64</v>
      </c>
    </row>
    <row r="22" spans="1:9" x14ac:dyDescent="0.25">
      <c r="A22" s="6" t="s">
        <v>17</v>
      </c>
      <c r="B22" s="6" t="s">
        <v>50</v>
      </c>
      <c r="C22" s="6" t="s">
        <v>40</v>
      </c>
      <c r="D22" s="6" t="s">
        <v>64</v>
      </c>
    </row>
    <row r="23" spans="1:9" x14ac:dyDescent="0.25">
      <c r="A23" s="6" t="s">
        <v>18</v>
      </c>
      <c r="B23" s="6" t="s">
        <v>42</v>
      </c>
      <c r="C23" s="6" t="s">
        <v>49</v>
      </c>
      <c r="D23" s="6" t="s">
        <v>65</v>
      </c>
    </row>
    <row r="24" spans="1:9" x14ac:dyDescent="0.25">
      <c r="A24" s="6" t="s">
        <v>19</v>
      </c>
      <c r="B24" s="6" t="s">
        <v>42</v>
      </c>
      <c r="C24" s="6" t="s">
        <v>30</v>
      </c>
      <c r="D24" s="6" t="s">
        <v>65</v>
      </c>
    </row>
    <row r="25" spans="1:9" x14ac:dyDescent="0.25">
      <c r="A25" s="6" t="s">
        <v>20</v>
      </c>
      <c r="B25" s="6" t="s">
        <v>44</v>
      </c>
      <c r="C25" s="6" t="s">
        <v>48</v>
      </c>
      <c r="D25" s="6" t="s">
        <v>64</v>
      </c>
    </row>
    <row r="26" spans="1:9" x14ac:dyDescent="0.25">
      <c r="A26" s="6" t="s">
        <v>21</v>
      </c>
      <c r="B26" s="6" t="s">
        <v>37</v>
      </c>
      <c r="C26" s="6" t="s">
        <v>38</v>
      </c>
      <c r="D26" s="6" t="s">
        <v>64</v>
      </c>
    </row>
    <row r="27" spans="1:9" x14ac:dyDescent="0.25">
      <c r="A27" s="6" t="s">
        <v>22</v>
      </c>
      <c r="B27" s="6" t="s">
        <v>37</v>
      </c>
      <c r="C27" s="6" t="s">
        <v>38</v>
      </c>
      <c r="D27" s="6" t="s">
        <v>65</v>
      </c>
    </row>
    <row r="28" spans="1:9" x14ac:dyDescent="0.25">
      <c r="A28" s="6" t="s">
        <v>23</v>
      </c>
      <c r="B28" s="6" t="s">
        <v>33</v>
      </c>
      <c r="C28" s="6" t="s">
        <v>34</v>
      </c>
      <c r="D28" s="6" t="s">
        <v>64</v>
      </c>
    </row>
    <row r="29" spans="1:9" x14ac:dyDescent="0.25">
      <c r="A29" s="6" t="s">
        <v>24</v>
      </c>
      <c r="B29" s="6" t="s">
        <v>33</v>
      </c>
      <c r="C29" s="6" t="s">
        <v>34</v>
      </c>
      <c r="D29" s="6" t="s">
        <v>64</v>
      </c>
    </row>
    <row r="30" spans="1:9" x14ac:dyDescent="0.25">
      <c r="A30" s="6" t="s">
        <v>25</v>
      </c>
      <c r="B30" s="6" t="s">
        <v>35</v>
      </c>
      <c r="C30" s="6" t="s">
        <v>36</v>
      </c>
      <c r="D30" s="6" t="s">
        <v>64</v>
      </c>
    </row>
    <row r="31" spans="1:9" x14ac:dyDescent="0.25">
      <c r="A31" s="6" t="s">
        <v>26</v>
      </c>
      <c r="B31" s="6" t="s">
        <v>44</v>
      </c>
      <c r="C31" s="6" t="s">
        <v>45</v>
      </c>
      <c r="D31" s="6" t="s">
        <v>64</v>
      </c>
    </row>
    <row r="32" spans="1:9" x14ac:dyDescent="0.25">
      <c r="A32" s="6" t="s">
        <v>55</v>
      </c>
      <c r="B32" s="6" t="s">
        <v>51</v>
      </c>
      <c r="C32" s="6" t="s">
        <v>43</v>
      </c>
      <c r="D32" s="6" t="s">
        <v>64</v>
      </c>
    </row>
    <row r="33" spans="1:4" x14ac:dyDescent="0.25">
      <c r="A33" s="6" t="s">
        <v>56</v>
      </c>
      <c r="B33" s="6" t="s">
        <v>29</v>
      </c>
      <c r="C33" s="6" t="s">
        <v>30</v>
      </c>
      <c r="D33" s="6" t="s">
        <v>64</v>
      </c>
    </row>
    <row r="34" spans="1:4" x14ac:dyDescent="0.25">
      <c r="A34" s="6" t="s">
        <v>57</v>
      </c>
      <c r="B34" s="6" t="s">
        <v>42</v>
      </c>
      <c r="C34" s="6" t="s">
        <v>30</v>
      </c>
      <c r="D34" s="6" t="s">
        <v>64</v>
      </c>
    </row>
    <row r="35" spans="1:4" x14ac:dyDescent="0.25">
      <c r="A35" s="6" t="s">
        <v>58</v>
      </c>
      <c r="B35" s="6" t="s">
        <v>35</v>
      </c>
      <c r="C35" s="6" t="s">
        <v>36</v>
      </c>
      <c r="D35" s="6" t="s">
        <v>65</v>
      </c>
    </row>
    <row r="36" spans="1:4" x14ac:dyDescent="0.25">
      <c r="A36" s="6" t="s">
        <v>59</v>
      </c>
      <c r="B36" s="6" t="s">
        <v>29</v>
      </c>
      <c r="C36" s="6" t="s">
        <v>30</v>
      </c>
      <c r="D36" s="6" t="s">
        <v>65</v>
      </c>
    </row>
    <row r="37" spans="1:4" x14ac:dyDescent="0.25">
      <c r="A37" s="6" t="s">
        <v>60</v>
      </c>
      <c r="B37" s="6" t="s">
        <v>53</v>
      </c>
      <c r="C37" s="6" t="s">
        <v>47</v>
      </c>
      <c r="D37" s="6" t="s">
        <v>65</v>
      </c>
    </row>
    <row r="38" spans="1:4" x14ac:dyDescent="0.25">
      <c r="A38" s="6" t="s">
        <v>61</v>
      </c>
      <c r="B38" s="6" t="s">
        <v>37</v>
      </c>
      <c r="C38" s="6" t="s">
        <v>38</v>
      </c>
      <c r="D38" s="6" t="s">
        <v>64</v>
      </c>
    </row>
    <row r="39" spans="1:4" x14ac:dyDescent="0.25">
      <c r="A39" s="6" t="s">
        <v>62</v>
      </c>
      <c r="B39" s="6" t="s">
        <v>50</v>
      </c>
      <c r="C39" s="6" t="s">
        <v>40</v>
      </c>
      <c r="D39" s="6" t="s">
        <v>65</v>
      </c>
    </row>
    <row r="40" spans="1:4" x14ac:dyDescent="0.25">
      <c r="A40" s="6" t="s">
        <v>63</v>
      </c>
      <c r="B40" s="6" t="s">
        <v>50</v>
      </c>
      <c r="C40" s="6" t="s">
        <v>30</v>
      </c>
      <c r="D40" s="6" t="s">
        <v>64</v>
      </c>
    </row>
  </sheetData>
  <sortState xmlns:xlrd2="http://schemas.microsoft.com/office/spreadsheetml/2017/richdata2" ref="B31:E41">
    <sortCondition ref="E31:E41"/>
  </sortState>
  <mergeCells count="1">
    <mergeCell ref="G4:I4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4EF47-E58B-486E-97D6-3CB10F53346C}">
  <sheetPr codeName="Sheet3"/>
  <dimension ref="A5:D40"/>
  <sheetViews>
    <sheetView workbookViewId="0">
      <selection activeCell="D6" sqref="D6"/>
    </sheetView>
  </sheetViews>
  <sheetFormatPr defaultRowHeight="15" x14ac:dyDescent="0.25"/>
  <cols>
    <col min="1" max="1" width="24.85546875" bestFit="1" customWidth="1"/>
  </cols>
  <sheetData>
    <row r="5" spans="1:4" x14ac:dyDescent="0.25">
      <c r="A5" s="1" t="s">
        <v>0</v>
      </c>
      <c r="B5" s="1" t="s">
        <v>27</v>
      </c>
      <c r="C5" s="1" t="s">
        <v>28</v>
      </c>
      <c r="D5" s="1" t="s">
        <v>54</v>
      </c>
    </row>
    <row r="6" spans="1:4" x14ac:dyDescent="0.25">
      <c r="A6" t="s">
        <v>1</v>
      </c>
      <c r="B6" t="s">
        <v>29</v>
      </c>
      <c r="C6" t="s">
        <v>43</v>
      </c>
      <c r="D6" t="s">
        <v>64</v>
      </c>
    </row>
    <row r="7" spans="1:4" x14ac:dyDescent="0.25">
      <c r="A7" t="s">
        <v>2</v>
      </c>
      <c r="B7" t="s">
        <v>31</v>
      </c>
      <c r="C7" t="s">
        <v>40</v>
      </c>
      <c r="D7" t="s">
        <v>65</v>
      </c>
    </row>
    <row r="8" spans="1:4" x14ac:dyDescent="0.25">
      <c r="A8" t="s">
        <v>3</v>
      </c>
      <c r="B8" t="s">
        <v>33</v>
      </c>
      <c r="C8" t="s">
        <v>38</v>
      </c>
      <c r="D8" t="s">
        <v>64</v>
      </c>
    </row>
    <row r="9" spans="1:4" x14ac:dyDescent="0.25">
      <c r="A9" t="s">
        <v>4</v>
      </c>
      <c r="B9" t="s">
        <v>46</v>
      </c>
      <c r="C9" t="s">
        <v>41</v>
      </c>
      <c r="D9" t="s">
        <v>65</v>
      </c>
    </row>
    <row r="10" spans="1:4" x14ac:dyDescent="0.25">
      <c r="A10" t="s">
        <v>5</v>
      </c>
      <c r="B10" t="s">
        <v>46</v>
      </c>
      <c r="C10" t="s">
        <v>41</v>
      </c>
      <c r="D10" t="s">
        <v>64</v>
      </c>
    </row>
    <row r="11" spans="1:4" x14ac:dyDescent="0.25">
      <c r="A11" t="s">
        <v>6</v>
      </c>
      <c r="B11" t="s">
        <v>39</v>
      </c>
      <c r="C11" t="s">
        <v>32</v>
      </c>
      <c r="D11" t="s">
        <v>64</v>
      </c>
    </row>
    <row r="12" spans="1:4" x14ac:dyDescent="0.25">
      <c r="A12" t="s">
        <v>7</v>
      </c>
      <c r="B12" t="s">
        <v>39</v>
      </c>
      <c r="C12" t="s">
        <v>40</v>
      </c>
      <c r="D12" t="s">
        <v>64</v>
      </c>
    </row>
    <row r="13" spans="1:4" x14ac:dyDescent="0.25">
      <c r="A13" t="s">
        <v>8</v>
      </c>
      <c r="B13" t="s">
        <v>31</v>
      </c>
      <c r="C13" t="s">
        <v>40</v>
      </c>
      <c r="D13" t="s">
        <v>64</v>
      </c>
    </row>
    <row r="14" spans="1:4" x14ac:dyDescent="0.25">
      <c r="A14" t="s">
        <v>9</v>
      </c>
      <c r="B14" t="s">
        <v>53</v>
      </c>
      <c r="C14" t="s">
        <v>49</v>
      </c>
      <c r="D14" t="s">
        <v>65</v>
      </c>
    </row>
    <row r="15" spans="1:4" x14ac:dyDescent="0.25">
      <c r="A15" t="s">
        <v>10</v>
      </c>
      <c r="B15" t="s">
        <v>33</v>
      </c>
      <c r="C15" t="s">
        <v>38</v>
      </c>
      <c r="D15" t="s">
        <v>65</v>
      </c>
    </row>
    <row r="16" spans="1:4" x14ac:dyDescent="0.25">
      <c r="A16" t="s">
        <v>11</v>
      </c>
      <c r="B16" t="s">
        <v>37</v>
      </c>
      <c r="C16" t="s">
        <v>38</v>
      </c>
      <c r="D16" t="s">
        <v>65</v>
      </c>
    </row>
    <row r="17" spans="1:4" x14ac:dyDescent="0.25">
      <c r="A17" t="s">
        <v>12</v>
      </c>
      <c r="B17" t="s">
        <v>35</v>
      </c>
      <c r="C17" t="s">
        <v>36</v>
      </c>
      <c r="D17" t="s">
        <v>65</v>
      </c>
    </row>
    <row r="18" spans="1:4" x14ac:dyDescent="0.25">
      <c r="A18" t="s">
        <v>13</v>
      </c>
      <c r="B18" t="s">
        <v>51</v>
      </c>
      <c r="C18" t="s">
        <v>43</v>
      </c>
      <c r="D18" t="s">
        <v>65</v>
      </c>
    </row>
    <row r="19" spans="1:4" x14ac:dyDescent="0.25">
      <c r="A19" t="s">
        <v>14</v>
      </c>
      <c r="B19" t="s">
        <v>31</v>
      </c>
      <c r="C19" t="s">
        <v>48</v>
      </c>
      <c r="D19" t="s">
        <v>64</v>
      </c>
    </row>
    <row r="20" spans="1:4" x14ac:dyDescent="0.25">
      <c r="A20" t="s">
        <v>15</v>
      </c>
      <c r="B20" t="s">
        <v>31</v>
      </c>
      <c r="C20" t="s">
        <v>48</v>
      </c>
      <c r="D20" t="s">
        <v>64</v>
      </c>
    </row>
    <row r="21" spans="1:4" x14ac:dyDescent="0.25">
      <c r="A21" t="s">
        <v>16</v>
      </c>
      <c r="B21" t="s">
        <v>44</v>
      </c>
      <c r="C21" t="s">
        <v>52</v>
      </c>
      <c r="D21" t="s">
        <v>64</v>
      </c>
    </row>
    <row r="22" spans="1:4" x14ac:dyDescent="0.25">
      <c r="A22" t="s">
        <v>17</v>
      </c>
      <c r="B22" t="s">
        <v>50</v>
      </c>
      <c r="C22" t="s">
        <v>40</v>
      </c>
      <c r="D22" t="s">
        <v>64</v>
      </c>
    </row>
    <row r="23" spans="1:4" x14ac:dyDescent="0.25">
      <c r="A23" t="s">
        <v>18</v>
      </c>
      <c r="B23" t="s">
        <v>42</v>
      </c>
      <c r="C23" t="s">
        <v>49</v>
      </c>
      <c r="D23" t="s">
        <v>65</v>
      </c>
    </row>
    <row r="24" spans="1:4" x14ac:dyDescent="0.25">
      <c r="A24" t="s">
        <v>19</v>
      </c>
      <c r="B24" t="s">
        <v>42</v>
      </c>
      <c r="C24" t="s">
        <v>30</v>
      </c>
      <c r="D24" t="s">
        <v>65</v>
      </c>
    </row>
    <row r="25" spans="1:4" x14ac:dyDescent="0.25">
      <c r="A25" t="s">
        <v>20</v>
      </c>
      <c r="B25" t="s">
        <v>44</v>
      </c>
      <c r="C25" t="s">
        <v>48</v>
      </c>
      <c r="D25" t="s">
        <v>64</v>
      </c>
    </row>
    <row r="26" spans="1:4" x14ac:dyDescent="0.25">
      <c r="A26" t="s">
        <v>21</v>
      </c>
      <c r="B26" t="s">
        <v>37</v>
      </c>
      <c r="C26" t="s">
        <v>38</v>
      </c>
      <c r="D26" t="s">
        <v>64</v>
      </c>
    </row>
    <row r="27" spans="1:4" x14ac:dyDescent="0.25">
      <c r="A27" t="s">
        <v>22</v>
      </c>
      <c r="B27" t="s">
        <v>37</v>
      </c>
      <c r="C27" t="s">
        <v>38</v>
      </c>
      <c r="D27" t="s">
        <v>65</v>
      </c>
    </row>
    <row r="28" spans="1:4" x14ac:dyDescent="0.25">
      <c r="A28" t="s">
        <v>23</v>
      </c>
      <c r="B28" t="s">
        <v>33</v>
      </c>
      <c r="C28" t="s">
        <v>34</v>
      </c>
      <c r="D28" t="s">
        <v>64</v>
      </c>
    </row>
    <row r="29" spans="1:4" x14ac:dyDescent="0.25">
      <c r="A29" t="s">
        <v>24</v>
      </c>
      <c r="B29" t="s">
        <v>33</v>
      </c>
      <c r="C29" t="s">
        <v>34</v>
      </c>
      <c r="D29" t="s">
        <v>64</v>
      </c>
    </row>
    <row r="30" spans="1:4" x14ac:dyDescent="0.25">
      <c r="A30" t="s">
        <v>25</v>
      </c>
      <c r="B30" t="s">
        <v>35</v>
      </c>
      <c r="C30" t="s">
        <v>36</v>
      </c>
      <c r="D30" t="s">
        <v>64</v>
      </c>
    </row>
    <row r="31" spans="1:4" x14ac:dyDescent="0.25">
      <c r="A31" t="s">
        <v>26</v>
      </c>
      <c r="B31" t="s">
        <v>44</v>
      </c>
      <c r="C31" t="s">
        <v>45</v>
      </c>
      <c r="D31" t="s">
        <v>64</v>
      </c>
    </row>
    <row r="32" spans="1:4" x14ac:dyDescent="0.25">
      <c r="A32" t="s">
        <v>55</v>
      </c>
      <c r="B32" t="s">
        <v>51</v>
      </c>
      <c r="C32" t="s">
        <v>43</v>
      </c>
      <c r="D32" t="s">
        <v>64</v>
      </c>
    </row>
    <row r="33" spans="1:4" x14ac:dyDescent="0.25">
      <c r="A33" t="s">
        <v>56</v>
      </c>
      <c r="B33" t="s">
        <v>29</v>
      </c>
      <c r="C33" t="s">
        <v>30</v>
      </c>
      <c r="D33" t="s">
        <v>64</v>
      </c>
    </row>
    <row r="34" spans="1:4" x14ac:dyDescent="0.25">
      <c r="A34" t="s">
        <v>57</v>
      </c>
      <c r="B34" t="s">
        <v>42</v>
      </c>
      <c r="C34" t="s">
        <v>30</v>
      </c>
      <c r="D34" t="s">
        <v>64</v>
      </c>
    </row>
    <row r="35" spans="1:4" x14ac:dyDescent="0.25">
      <c r="A35" t="s">
        <v>58</v>
      </c>
      <c r="B35" t="s">
        <v>35</v>
      </c>
      <c r="C35" t="s">
        <v>36</v>
      </c>
      <c r="D35" t="s">
        <v>65</v>
      </c>
    </row>
    <row r="36" spans="1:4" x14ac:dyDescent="0.25">
      <c r="A36" t="s">
        <v>59</v>
      </c>
      <c r="B36" t="s">
        <v>29</v>
      </c>
      <c r="C36" t="s">
        <v>30</v>
      </c>
      <c r="D36" t="s">
        <v>65</v>
      </c>
    </row>
    <row r="37" spans="1:4" x14ac:dyDescent="0.25">
      <c r="A37" t="s">
        <v>60</v>
      </c>
      <c r="B37" t="s">
        <v>53</v>
      </c>
      <c r="C37" t="s">
        <v>47</v>
      </c>
      <c r="D37" t="s">
        <v>65</v>
      </c>
    </row>
    <row r="38" spans="1:4" x14ac:dyDescent="0.25">
      <c r="A38" t="s">
        <v>61</v>
      </c>
      <c r="B38" t="s">
        <v>37</v>
      </c>
      <c r="C38" t="s">
        <v>38</v>
      </c>
      <c r="D38" t="s">
        <v>64</v>
      </c>
    </row>
    <row r="39" spans="1:4" x14ac:dyDescent="0.25">
      <c r="A39" t="s">
        <v>62</v>
      </c>
      <c r="B39" t="s">
        <v>50</v>
      </c>
      <c r="C39" t="s">
        <v>40</v>
      </c>
      <c r="D39" t="s">
        <v>65</v>
      </c>
    </row>
    <row r="40" spans="1:4" x14ac:dyDescent="0.25">
      <c r="A40" t="s">
        <v>63</v>
      </c>
      <c r="B40" t="s">
        <v>50</v>
      </c>
      <c r="C40" t="s">
        <v>49</v>
      </c>
      <c r="D40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FINAL Selections</vt:lpstr>
      <vt:lpstr>Raw Data</vt:lpstr>
      <vt:lpstr>Original Data</vt:lpstr>
      <vt:lpstr>Guest?</vt:lpstr>
      <vt:lpstr>Timestamp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2021-01-15T17:17:44Z</dcterms:created>
  <dcterms:modified xsi:type="dcterms:W3CDTF">2023-08-27T17:48:49Z</dcterms:modified>
</cp:coreProperties>
</file>