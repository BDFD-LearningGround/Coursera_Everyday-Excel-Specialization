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4F4FB0A9-F67A-4DEC-957C-65B72A073629}" xr6:coauthVersionLast="46" xr6:coauthVersionMax="46" xr10:uidLastSave="{00000000-0000-0000-0000-000000000000}"/>
  <bookViews>
    <workbookView xWindow="4050" yWindow="2805" windowWidth="26655" windowHeight="18195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3" i="1"/>
  <c r="P2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3" i="1"/>
  <c r="K11" i="1"/>
  <c r="K12" i="1"/>
  <c r="K13" i="1"/>
  <c r="K14" i="1"/>
  <c r="K15" i="1"/>
  <c r="K16" i="1"/>
  <c r="K17" i="1"/>
  <c r="K18" i="1"/>
  <c r="K19" i="1"/>
  <c r="K20" i="1"/>
  <c r="K21" i="1"/>
  <c r="K22" i="1"/>
  <c r="N2" i="1"/>
  <c r="K4" i="1"/>
  <c r="K5" i="1"/>
  <c r="K6" i="1"/>
  <c r="K7" i="1"/>
  <c r="K8" i="1"/>
  <c r="K9" i="1"/>
  <c r="K10" i="1"/>
  <c r="K3" i="1"/>
  <c r="L2" i="1"/>
  <c r="K31" i="1" l="1"/>
  <c r="K30" i="1"/>
  <c r="K28" i="1"/>
  <c r="F4" i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N3" i="1"/>
  <c r="N4" i="1" s="1"/>
  <c r="L3" i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N5" i="1" l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F5" i="1"/>
  <c r="K29" i="1"/>
</calcChain>
</file>

<file path=xl/sharedStrings.xml><?xml version="1.0" encoding="utf-8"?>
<sst xmlns="http://schemas.openxmlformats.org/spreadsheetml/2006/main" count="21" uniqueCount="18">
  <si>
    <t>Assignment 3.1</t>
  </si>
  <si>
    <t>Purchase Cost:</t>
  </si>
  <si>
    <t>Salvage Value:</t>
  </si>
  <si>
    <t>Depreciation method:</t>
  </si>
  <si>
    <t>Double declining balance</t>
  </si>
  <si>
    <t>Year:</t>
  </si>
  <si>
    <t>Yearly depreciation:</t>
  </si>
  <si>
    <t>End-of-year value:</t>
  </si>
  <si>
    <t>Year purchased:</t>
  </si>
  <si>
    <t>Sum-of-years</t>
  </si>
  <si>
    <t>Useful Life (yrs):</t>
  </si>
  <si>
    <t>Straight-line</t>
  </si>
  <si>
    <t>Depreciation methods</t>
  </si>
  <si>
    <t>Year</t>
  </si>
  <si>
    <t>Straight-Line Method</t>
  </si>
  <si>
    <t>Sum-of-Year Method</t>
  </si>
  <si>
    <t>Double Declining Balance</t>
  </si>
  <si>
    <t>Remain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</si>
</sst>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0" fillId="0" borderId="3" xfId="0" applyBorder="1"/>
    <xf numFmtId="0" fontId="2" fillId="0" borderId="1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2" xfId="0" applyFont="1" applyBorder="1"/>
    <xf numFmtId="0" fontId="2" fillId="0" borderId="4" xfId="0" applyFont="1" applyBorder="1" applyAlignment="1">
      <alignment horizontal="right"/>
    </xf>
    <xf numFmtId="44" fontId="0" fillId="2" borderId="5" xfId="1" applyFont="1" applyFill="1" applyBorder="1"/>
    <xf numFmtId="0" fontId="0" fillId="2" borderId="5" xfId="0" applyFill="1" applyBorder="1"/>
    <xf numFmtId="44" fontId="0" fillId="3" borderId="5" xfId="1" applyFont="1" applyFill="1" applyBorder="1"/>
    <xf numFmtId="14" fontId="0" fillId="2" borderId="5" xfId="0" applyNumberFormat="1" applyFill="1" applyBorder="1" applyAlignment="1">
      <alignment horizontal="right"/>
    </xf>
    <xf numFmtId="44" fontId="0" fillId="0" borderId="0" xfId="1" applyFont="1"/>
    <xf numFmtId="0" fontId="0" fillId="0" borderId="0" xfId="1" applyNumberFormat="1" applyFont="1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6</xdr:row>
          <xdr:rowOff>152400</xdr:rowOff>
        </xdr:from>
        <xdr:to>
          <xdr:col>5</xdr:col>
          <xdr:colOff>66675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1"/>
  <sheetViews>
    <sheetView tabSelected="1" topLeftCell="B1" workbookViewId="0">
      <selection activeCell="J33" sqref="J33"/>
    </sheetView>
  </sheetViews>
  <sheetFormatPr defaultRowHeight="15" x14ac:dyDescent="0.25"/>
  <cols>
    <col min="2" max="2" width="23.7109375" bestFit="1" customWidth="1"/>
    <col min="3" max="3" width="20.5703125" bestFit="1" customWidth="1"/>
    <col min="5" max="5" width="17.42578125" bestFit="1" customWidth="1"/>
    <col min="6" max="6" width="10.85546875" bestFit="1" customWidth="1"/>
    <col min="11" max="11" width="20" bestFit="1" customWidth="1"/>
    <col min="12" max="12" width="20" customWidth="1"/>
    <col min="13" max="13" width="19.7109375" bestFit="1" customWidth="1"/>
    <col min="14" max="14" width="19.7109375" customWidth="1"/>
    <col min="15" max="15" width="23.85546875" bestFit="1" customWidth="1"/>
    <col min="16" max="16" width="23.85546875" customWidth="1"/>
  </cols>
  <sheetData>
    <row r="1" spans="1:16" x14ac:dyDescent="0.25">
      <c r="A1" s="1" t="s">
        <v>0</v>
      </c>
      <c r="J1" s="12"/>
      <c r="K1" s="12" t="s">
        <v>14</v>
      </c>
      <c r="L1" s="12" t="s">
        <v>17</v>
      </c>
      <c r="M1" s="12" t="s">
        <v>15</v>
      </c>
      <c r="N1" s="12" t="s">
        <v>17</v>
      </c>
      <c r="O1" s="12" t="s">
        <v>16</v>
      </c>
      <c r="P1" s="12" t="s">
        <v>17</v>
      </c>
    </row>
    <row r="2" spans="1:16" ht="15.75" thickBot="1" x14ac:dyDescent="0.3">
      <c r="J2" s="12">
        <v>0</v>
      </c>
      <c r="K2" s="13">
        <f>SLN($C$3,$C$6,$C$5)</f>
        <v>1000</v>
      </c>
      <c r="L2" s="13">
        <f>C3</f>
        <v>10000</v>
      </c>
      <c r="M2" s="13">
        <v>0</v>
      </c>
      <c r="N2" s="13">
        <f>C3</f>
        <v>10000</v>
      </c>
      <c r="O2" s="13">
        <v>0</v>
      </c>
      <c r="P2" s="13">
        <f>C3</f>
        <v>10000</v>
      </c>
    </row>
    <row r="3" spans="1:16" ht="15.75" thickBot="1" x14ac:dyDescent="0.3">
      <c r="B3" s="3" t="s">
        <v>1</v>
      </c>
      <c r="C3" s="7">
        <v>10000</v>
      </c>
      <c r="E3" s="3" t="s">
        <v>5</v>
      </c>
      <c r="F3" s="8">
        <v>2018</v>
      </c>
      <c r="J3" s="12">
        <v>1</v>
      </c>
      <c r="K3" s="13">
        <f>SLN($C$3,$C$6,$C$5)</f>
        <v>1000</v>
      </c>
      <c r="L3" s="13">
        <f>L2-K3</f>
        <v>9000</v>
      </c>
      <c r="M3" s="13">
        <f>SYD($C$3,$C$6,$C$5,J3)</f>
        <v>1777.7777777777778</v>
      </c>
      <c r="N3" s="13">
        <f>N2-M3</f>
        <v>8222.2222222222226</v>
      </c>
      <c r="O3" s="13">
        <f>DDB($C$3,$C$6,$C$5,J3)</f>
        <v>2500</v>
      </c>
      <c r="P3" s="13">
        <f>P2-O3</f>
        <v>7500</v>
      </c>
    </row>
    <row r="4" spans="1:16" ht="15.75" thickBot="1" x14ac:dyDescent="0.3">
      <c r="B4" s="4" t="s">
        <v>8</v>
      </c>
      <c r="C4" s="8">
        <v>2016</v>
      </c>
      <c r="E4" s="4" t="s">
        <v>6</v>
      </c>
      <c r="F4" s="9">
        <f ca="1">OFFSET($J$2,$F$3-$C$4,IF($C$8=$B$12,1,IF($C$8=$B$13,3,5)),1,1)</f>
        <v>1555.5555555555557</v>
      </c>
      <c r="J4" s="12">
        <v>2</v>
      </c>
      <c r="K4" s="13">
        <f t="shared" ref="K4:K22" si="0">SLN($C$3,$C$6,$C$5)</f>
        <v>1000</v>
      </c>
      <c r="L4" s="13">
        <f t="shared" ref="L4:L22" si="1">L3-K4</f>
        <v>8000</v>
      </c>
      <c r="M4" s="13">
        <f t="shared" ref="M4:M22" si="2">SYD($C$3,$C$6,$C$5,J4)</f>
        <v>1555.5555555555557</v>
      </c>
      <c r="N4" s="13">
        <f>N3-M4</f>
        <v>6666.666666666667</v>
      </c>
      <c r="O4" s="13">
        <f t="shared" ref="O4:O22" si="3">DDB($C$3,$C$6,$C$5,J4)</f>
        <v>1875</v>
      </c>
      <c r="P4" s="13">
        <f t="shared" ref="P4:P22" si="4">P3-O4</f>
        <v>5625</v>
      </c>
    </row>
    <row r="5" spans="1:16" ht="15.75" thickBot="1" x14ac:dyDescent="0.3">
      <c r="B5" s="4" t="s">
        <v>10</v>
      </c>
      <c r="C5" s="8">
        <v>8</v>
      </c>
      <c r="E5" s="6" t="s">
        <v>7</v>
      </c>
      <c r="F5" s="9">
        <f ca="1">OFFSET($J$2,$F$3-$C$4,IF($C$8=$B$12,1,IF($C$8=$B$13,3,5))+1,1,1)</f>
        <v>6666.666666666667</v>
      </c>
      <c r="J5" s="12">
        <v>3</v>
      </c>
      <c r="K5" s="13">
        <f t="shared" si="0"/>
        <v>1000</v>
      </c>
      <c r="L5" s="13">
        <f t="shared" si="1"/>
        <v>7000</v>
      </c>
      <c r="M5" s="13">
        <f t="shared" si="2"/>
        <v>1333.3333333333333</v>
      </c>
      <c r="N5" s="13">
        <f t="shared" ref="N5:N22" si="5">N4-M5</f>
        <v>5333.3333333333339</v>
      </c>
      <c r="O5" s="13">
        <f t="shared" si="3"/>
        <v>1406.25</v>
      </c>
      <c r="P5" s="13">
        <f t="shared" si="4"/>
        <v>4218.75</v>
      </c>
    </row>
    <row r="6" spans="1:16" ht="15.75" thickBot="1" x14ac:dyDescent="0.3">
      <c r="B6" s="4" t="s">
        <v>2</v>
      </c>
      <c r="C6" s="7">
        <v>2000</v>
      </c>
      <c r="J6" s="12">
        <v>4</v>
      </c>
      <c r="K6" s="13">
        <f t="shared" si="0"/>
        <v>1000</v>
      </c>
      <c r="L6" s="13">
        <f t="shared" si="1"/>
        <v>6000</v>
      </c>
      <c r="M6" s="13">
        <f t="shared" si="2"/>
        <v>1111.1111111111111</v>
      </c>
      <c r="N6" s="13">
        <f t="shared" si="5"/>
        <v>4222.2222222222226</v>
      </c>
      <c r="O6" s="13">
        <f t="shared" si="3"/>
        <v>1054.6875</v>
      </c>
      <c r="P6" s="13">
        <f t="shared" si="4"/>
        <v>3164.0625</v>
      </c>
    </row>
    <row r="7" spans="1:16" ht="15.75" thickBot="1" x14ac:dyDescent="0.3">
      <c r="B7" s="5"/>
      <c r="C7" s="2"/>
      <c r="J7" s="12">
        <v>5</v>
      </c>
      <c r="K7" s="13">
        <f t="shared" si="0"/>
        <v>1000</v>
      </c>
      <c r="L7" s="13">
        <f t="shared" si="1"/>
        <v>5000</v>
      </c>
      <c r="M7" s="13">
        <f t="shared" si="2"/>
        <v>888.88888888888891</v>
      </c>
      <c r="N7" s="13">
        <f t="shared" si="5"/>
        <v>3333.3333333333339</v>
      </c>
      <c r="O7" s="13">
        <f t="shared" si="3"/>
        <v>791.015625</v>
      </c>
      <c r="P7" s="13">
        <f t="shared" si="4"/>
        <v>2373.046875</v>
      </c>
    </row>
    <row r="8" spans="1:16" ht="15.75" thickBot="1" x14ac:dyDescent="0.3">
      <c r="B8" s="6" t="s">
        <v>3</v>
      </c>
      <c r="C8" s="10" t="s">
        <v>9</v>
      </c>
      <c r="J8" s="12">
        <v>6</v>
      </c>
      <c r="K8" s="13">
        <f t="shared" si="0"/>
        <v>1000</v>
      </c>
      <c r="L8" s="13">
        <f t="shared" si="1"/>
        <v>4000</v>
      </c>
      <c r="M8" s="13">
        <f t="shared" si="2"/>
        <v>666.66666666666663</v>
      </c>
      <c r="N8" s="13">
        <f t="shared" si="5"/>
        <v>2666.6666666666674</v>
      </c>
      <c r="O8" s="13">
        <f t="shared" si="3"/>
        <v>373.046875</v>
      </c>
      <c r="P8" s="13">
        <f t="shared" si="4"/>
        <v>2000</v>
      </c>
    </row>
    <row r="9" spans="1:16" x14ac:dyDescent="0.25">
      <c r="J9" s="12">
        <v>7</v>
      </c>
      <c r="K9" s="13">
        <f t="shared" si="0"/>
        <v>1000</v>
      </c>
      <c r="L9" s="13">
        <f t="shared" si="1"/>
        <v>3000</v>
      </c>
      <c r="M9" s="13">
        <f t="shared" si="2"/>
        <v>444.44444444444446</v>
      </c>
      <c r="N9" s="13">
        <f t="shared" si="5"/>
        <v>2222.2222222222231</v>
      </c>
      <c r="O9" s="13">
        <f t="shared" si="3"/>
        <v>0</v>
      </c>
      <c r="P9" s="13">
        <f t="shared" si="4"/>
        <v>2000</v>
      </c>
    </row>
    <row r="10" spans="1:16" x14ac:dyDescent="0.25">
      <c r="J10" s="12">
        <v>8</v>
      </c>
      <c r="K10" s="13">
        <f t="shared" si="0"/>
        <v>1000</v>
      </c>
      <c r="L10" s="13">
        <f t="shared" si="1"/>
        <v>2000</v>
      </c>
      <c r="M10" s="13">
        <f t="shared" si="2"/>
        <v>222.22222222222223</v>
      </c>
      <c r="N10" s="13">
        <f t="shared" si="5"/>
        <v>2000.0000000000009</v>
      </c>
      <c r="O10" s="13">
        <f t="shared" si="3"/>
        <v>0</v>
      </c>
      <c r="P10" s="13">
        <f t="shared" si="4"/>
        <v>2000</v>
      </c>
    </row>
    <row r="11" spans="1:16" x14ac:dyDescent="0.25">
      <c r="B11" s="1" t="s">
        <v>12</v>
      </c>
      <c r="J11" s="12">
        <v>9</v>
      </c>
      <c r="K11" s="13">
        <f t="shared" si="0"/>
        <v>1000</v>
      </c>
      <c r="L11" s="13">
        <f t="shared" si="1"/>
        <v>1000</v>
      </c>
      <c r="M11" s="13" t="e">
        <f t="shared" si="2"/>
        <v>#NUM!</v>
      </c>
      <c r="N11" s="13" t="e">
        <f t="shared" si="5"/>
        <v>#NUM!</v>
      </c>
      <c r="O11" s="13" t="e">
        <f t="shared" si="3"/>
        <v>#NUM!</v>
      </c>
      <c r="P11" s="13" t="e">
        <f t="shared" si="4"/>
        <v>#NUM!</v>
      </c>
    </row>
    <row r="12" spans="1:16" x14ac:dyDescent="0.25">
      <c r="B12" t="s">
        <v>11</v>
      </c>
      <c r="J12" s="12">
        <v>10</v>
      </c>
      <c r="K12" s="13">
        <f t="shared" si="0"/>
        <v>1000</v>
      </c>
      <c r="L12" s="13">
        <f t="shared" si="1"/>
        <v>0</v>
      </c>
      <c r="M12" s="13" t="e">
        <f t="shared" si="2"/>
        <v>#NUM!</v>
      </c>
      <c r="N12" s="13" t="e">
        <f t="shared" si="5"/>
        <v>#NUM!</v>
      </c>
      <c r="O12" s="13" t="e">
        <f t="shared" si="3"/>
        <v>#NUM!</v>
      </c>
      <c r="P12" s="13" t="e">
        <f t="shared" si="4"/>
        <v>#NUM!</v>
      </c>
    </row>
    <row r="13" spans="1:16" x14ac:dyDescent="0.25">
      <c r="B13" t="s">
        <v>9</v>
      </c>
      <c r="J13" s="12">
        <v>11</v>
      </c>
      <c r="K13" s="13">
        <f t="shared" si="0"/>
        <v>1000</v>
      </c>
      <c r="L13" s="13">
        <f t="shared" si="1"/>
        <v>-1000</v>
      </c>
      <c r="M13" s="13" t="e">
        <f t="shared" si="2"/>
        <v>#NUM!</v>
      </c>
      <c r="N13" s="13" t="e">
        <f t="shared" si="5"/>
        <v>#NUM!</v>
      </c>
      <c r="O13" s="13" t="e">
        <f t="shared" si="3"/>
        <v>#NUM!</v>
      </c>
      <c r="P13" s="13" t="e">
        <f t="shared" si="4"/>
        <v>#NUM!</v>
      </c>
    </row>
    <row r="14" spans="1:16" x14ac:dyDescent="0.25">
      <c r="B14" t="s">
        <v>4</v>
      </c>
      <c r="J14" s="12">
        <v>12</v>
      </c>
      <c r="K14" s="13">
        <f t="shared" si="0"/>
        <v>1000</v>
      </c>
      <c r="L14" s="13">
        <f t="shared" si="1"/>
        <v>-2000</v>
      </c>
      <c r="M14" s="13" t="e">
        <f t="shared" si="2"/>
        <v>#NUM!</v>
      </c>
      <c r="N14" s="13" t="e">
        <f t="shared" si="5"/>
        <v>#NUM!</v>
      </c>
      <c r="O14" s="13" t="e">
        <f t="shared" si="3"/>
        <v>#NUM!</v>
      </c>
      <c r="P14" s="13" t="e">
        <f t="shared" si="4"/>
        <v>#NUM!</v>
      </c>
    </row>
    <row r="15" spans="1:16" x14ac:dyDescent="0.25">
      <c r="J15" s="12">
        <v>13</v>
      </c>
      <c r="K15" s="13">
        <f t="shared" si="0"/>
        <v>1000</v>
      </c>
      <c r="L15" s="13">
        <f t="shared" si="1"/>
        <v>-3000</v>
      </c>
      <c r="M15" s="13" t="e">
        <f t="shared" si="2"/>
        <v>#NUM!</v>
      </c>
      <c r="N15" s="13" t="e">
        <f t="shared" si="5"/>
        <v>#NUM!</v>
      </c>
      <c r="O15" s="13" t="e">
        <f t="shared" si="3"/>
        <v>#NUM!</v>
      </c>
      <c r="P15" s="13" t="e">
        <f t="shared" si="4"/>
        <v>#NUM!</v>
      </c>
    </row>
    <row r="16" spans="1:16" x14ac:dyDescent="0.25">
      <c r="J16" s="12">
        <v>14</v>
      </c>
      <c r="K16" s="13">
        <f t="shared" si="0"/>
        <v>1000</v>
      </c>
      <c r="L16" s="13">
        <f t="shared" si="1"/>
        <v>-4000</v>
      </c>
      <c r="M16" s="13" t="e">
        <f t="shared" si="2"/>
        <v>#NUM!</v>
      </c>
      <c r="N16" s="13" t="e">
        <f t="shared" si="5"/>
        <v>#NUM!</v>
      </c>
      <c r="O16" s="13" t="e">
        <f t="shared" si="3"/>
        <v>#NUM!</v>
      </c>
      <c r="P16" s="13" t="e">
        <f t="shared" si="4"/>
        <v>#NUM!</v>
      </c>
    </row>
    <row r="17" spans="2:16" x14ac:dyDescent="0.25">
      <c r="J17" s="12">
        <v>15</v>
      </c>
      <c r="K17" s="13">
        <f t="shared" si="0"/>
        <v>1000</v>
      </c>
      <c r="L17" s="13">
        <f t="shared" si="1"/>
        <v>-5000</v>
      </c>
      <c r="M17" s="13" t="e">
        <f t="shared" si="2"/>
        <v>#NUM!</v>
      </c>
      <c r="N17" s="13" t="e">
        <f t="shared" si="5"/>
        <v>#NUM!</v>
      </c>
      <c r="O17" s="13" t="e">
        <f t="shared" si="3"/>
        <v>#NUM!</v>
      </c>
      <c r="P17" s="13" t="e">
        <f t="shared" si="4"/>
        <v>#NUM!</v>
      </c>
    </row>
    <row r="18" spans="2:16" x14ac:dyDescent="0.25">
      <c r="J18" s="12">
        <v>16</v>
      </c>
      <c r="K18" s="13">
        <f t="shared" si="0"/>
        <v>1000</v>
      </c>
      <c r="L18" s="13">
        <f t="shared" si="1"/>
        <v>-6000</v>
      </c>
      <c r="M18" s="13" t="e">
        <f t="shared" si="2"/>
        <v>#NUM!</v>
      </c>
      <c r="N18" s="13" t="e">
        <f t="shared" si="5"/>
        <v>#NUM!</v>
      </c>
      <c r="O18" s="13" t="e">
        <f t="shared" si="3"/>
        <v>#NUM!</v>
      </c>
      <c r="P18" s="13" t="e">
        <f t="shared" si="4"/>
        <v>#NUM!</v>
      </c>
    </row>
    <row r="19" spans="2:16" x14ac:dyDescent="0.25">
      <c r="J19" s="12">
        <v>17</v>
      </c>
      <c r="K19" s="13">
        <f t="shared" si="0"/>
        <v>1000</v>
      </c>
      <c r="L19" s="13">
        <f t="shared" si="1"/>
        <v>-7000</v>
      </c>
      <c r="M19" s="13" t="e">
        <f t="shared" si="2"/>
        <v>#NUM!</v>
      </c>
      <c r="N19" s="13" t="e">
        <f t="shared" si="5"/>
        <v>#NUM!</v>
      </c>
      <c r="O19" s="13" t="e">
        <f t="shared" si="3"/>
        <v>#NUM!</v>
      </c>
      <c r="P19" s="13" t="e">
        <f t="shared" si="4"/>
        <v>#NUM!</v>
      </c>
    </row>
    <row r="20" spans="2:16" x14ac:dyDescent="0.25">
      <c r="B20" t="s">
        <v>13</v>
      </c>
      <c r="J20" s="12">
        <v>18</v>
      </c>
      <c r="K20" s="13">
        <f t="shared" si="0"/>
        <v>1000</v>
      </c>
      <c r="L20" s="13">
        <f t="shared" si="1"/>
        <v>-8000</v>
      </c>
      <c r="M20" s="13" t="e">
        <f t="shared" si="2"/>
        <v>#NUM!</v>
      </c>
      <c r="N20" s="13" t="e">
        <f t="shared" si="5"/>
        <v>#NUM!</v>
      </c>
      <c r="O20" s="13" t="e">
        <f t="shared" si="3"/>
        <v>#NUM!</v>
      </c>
      <c r="P20" s="13" t="e">
        <f t="shared" si="4"/>
        <v>#NUM!</v>
      </c>
    </row>
    <row r="21" spans="2:16" x14ac:dyDescent="0.25">
      <c r="B21">
        <v>2016</v>
      </c>
      <c r="J21" s="12">
        <v>19</v>
      </c>
      <c r="K21" s="13">
        <f t="shared" si="0"/>
        <v>1000</v>
      </c>
      <c r="L21" s="13">
        <f t="shared" si="1"/>
        <v>-9000</v>
      </c>
      <c r="M21" s="13" t="e">
        <f t="shared" si="2"/>
        <v>#NUM!</v>
      </c>
      <c r="N21" s="13" t="e">
        <f t="shared" si="5"/>
        <v>#NUM!</v>
      </c>
      <c r="O21" s="13" t="e">
        <f t="shared" si="3"/>
        <v>#NUM!</v>
      </c>
      <c r="P21" s="13" t="e">
        <f t="shared" si="4"/>
        <v>#NUM!</v>
      </c>
    </row>
    <row r="22" spans="2:16" x14ac:dyDescent="0.25">
      <c r="B22">
        <v>2017</v>
      </c>
      <c r="J22" s="12">
        <v>20</v>
      </c>
      <c r="K22" s="13">
        <f t="shared" si="0"/>
        <v>1000</v>
      </c>
      <c r="L22" s="13">
        <f t="shared" si="1"/>
        <v>-10000</v>
      </c>
      <c r="M22" s="13" t="e">
        <f t="shared" si="2"/>
        <v>#NUM!</v>
      </c>
      <c r="N22" s="13" t="e">
        <f t="shared" si="5"/>
        <v>#NUM!</v>
      </c>
      <c r="O22" s="13" t="e">
        <f t="shared" si="3"/>
        <v>#NUM!</v>
      </c>
      <c r="P22" s="13" t="e">
        <f t="shared" si="4"/>
        <v>#NUM!</v>
      </c>
    </row>
    <row r="23" spans="2:16" x14ac:dyDescent="0.25">
      <c r="B23">
        <v>2018</v>
      </c>
      <c r="K23" s="11"/>
      <c r="L23" s="11"/>
      <c r="M23" s="11"/>
      <c r="N23" s="11"/>
      <c r="O23" s="11"/>
      <c r="P23" s="11"/>
    </row>
    <row r="24" spans="2:16" x14ac:dyDescent="0.25">
      <c r="B24">
        <v>2019</v>
      </c>
    </row>
    <row r="25" spans="2:16" x14ac:dyDescent="0.25">
      <c r="B25">
        <v>2020</v>
      </c>
    </row>
    <row r="26" spans="2:16" x14ac:dyDescent="0.25">
      <c r="B26">
        <v>2021</v>
      </c>
    </row>
    <row r="27" spans="2:16" x14ac:dyDescent="0.25">
      <c r="B27">
        <v>2022</v>
      </c>
    </row>
    <row r="28" spans="2:16" x14ac:dyDescent="0.25">
      <c r="B28">
        <v>2023</v>
      </c>
      <c r="K28">
        <f ca="1">OFFSET($J$2,$F$3-$C$4,IF($C$8=$B$12,1,IF($C$8=$B$13,3,5)),1,1)</f>
        <v>1555.5555555555557</v>
      </c>
    </row>
    <row r="29" spans="2:16" x14ac:dyDescent="0.25">
      <c r="B29">
        <v>2024</v>
      </c>
      <c r="K29">
        <f ca="1">OFFSET($J$2,$F$3-$C$4,IF($C$8=$B$12,1,IF($C$8=$B$13,3,5))+1,1,1)</f>
        <v>6666.666666666667</v>
      </c>
    </row>
    <row r="30" spans="2:16" x14ac:dyDescent="0.25">
      <c r="K30">
        <f t="shared" ref="K30:K31" ca="1" si="6">OFFSET($J$2,$F$3-$C$4,IF($C$8=$B$12,1,IF($C$8=$B$13,3,5)),1,1)</f>
        <v>1555.5555555555557</v>
      </c>
    </row>
    <row r="31" spans="2:16" x14ac:dyDescent="0.25">
      <c r="K31">
        <f t="shared" ca="1" si="6"/>
        <v>1555.5555555555557</v>
      </c>
    </row>
  </sheetData>
  <dataValidations count="2">
    <dataValidation type="list" allowBlank="1" showInputMessage="1" showErrorMessage="1" sqref="C8" xr:uid="{4C9141D9-DD0C-472C-B360-62A5CEA13243}">
      <formula1>$B$12:$B$14</formula1>
    </dataValidation>
    <dataValidation type="list" allowBlank="1" showInputMessage="1" showErrorMessage="1" sqref="F3" xr:uid="{5FCB5F7C-7E37-4607-8F10-7BA72E95B23B}">
      <formula1>$B$21:$B$29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4</xdr:col>
                    <xdr:colOff>428625</xdr:colOff>
                    <xdr:row>6</xdr:row>
                    <xdr:rowOff>152400</xdr:rowOff>
                  </from>
                  <to>
                    <xdr:col>5</xdr:col>
                    <xdr:colOff>66675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David Chen</cp:lastModifiedBy>
  <dcterms:created xsi:type="dcterms:W3CDTF">2020-04-23T22:29:21Z</dcterms:created>
  <dcterms:modified xsi:type="dcterms:W3CDTF">2021-03-10T04:55:26Z</dcterms:modified>
</cp:coreProperties>
</file>