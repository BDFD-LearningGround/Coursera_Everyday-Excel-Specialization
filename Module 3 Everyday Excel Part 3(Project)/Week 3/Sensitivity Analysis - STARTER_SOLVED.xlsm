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E:\ASHik\Me\Dream\Coursera\EveryDay Excel\Every Day Excel Part 3\Course Files\"/>
    </mc:Choice>
  </mc:AlternateContent>
  <xr:revisionPtr revIDLastSave="0" documentId="13_ncr:1_{48522D58-EB25-49DE-A87E-178EA841D4E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ensitivity Analysis" sheetId="1" r:id="rId1"/>
  </sheets>
  <definedNames>
    <definedName name="change">'Sensitivity Analysis'!$G$5</definedName>
    <definedName name="Cland">'Sensitivity Analysis'!$D$5</definedName>
    <definedName name="COS">'Sensitivity Analysis'!$D$11</definedName>
    <definedName name="Croyal">'Sensitivity Analysis'!$D$6</definedName>
    <definedName name="Cstart">'Sensitivity Analysis'!$D$9</definedName>
    <definedName name="CTDC">'Sensitivity Analysis'!$D$7</definedName>
    <definedName name="i">'Sensitivity Analysis'!$D$13</definedName>
    <definedName name="S">'Sensitivity Analysis'!$D$10</definedName>
    <definedName name="tax">'Sensitivity Analysis'!$D$12</definedName>
    <definedName name="WC">'Sensitivity Analysis'!$D$8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" l="1"/>
  <c r="C7" i="1"/>
  <c r="C8" i="1"/>
  <c r="C9" i="1"/>
  <c r="C11" i="1"/>
  <c r="C12" i="1"/>
  <c r="C13" i="1"/>
  <c r="C5" i="1"/>
  <c r="K4" i="1"/>
  <c r="J4" i="1"/>
  <c r="C10" i="1" s="1"/>
  <c r="D6" i="1" l="1"/>
  <c r="D7" i="1"/>
  <c r="D8" i="1"/>
  <c r="D9" i="1"/>
  <c r="F24" i="1" s="1"/>
  <c r="D10" i="1"/>
  <c r="D11" i="1"/>
  <c r="D12" i="1"/>
  <c r="D13" i="1"/>
  <c r="D5" i="1"/>
  <c r="D23" i="1" l="1"/>
  <c r="B23" i="1" l="1"/>
  <c r="L23" i="1" s="1"/>
  <c r="M23" i="1" s="1"/>
  <c r="N23" i="1" s="1"/>
  <c r="H25" i="1"/>
  <c r="H28" i="1"/>
  <c r="H30" i="1"/>
  <c r="H27" i="1"/>
  <c r="B24" i="1"/>
  <c r="H29" i="1"/>
  <c r="H26" i="1"/>
  <c r="H32" i="1"/>
  <c r="H31" i="1"/>
  <c r="C24" i="1"/>
  <c r="C37" i="1"/>
  <c r="I37" i="1"/>
  <c r="I25" i="1"/>
  <c r="I27" i="1"/>
  <c r="I35" i="1"/>
  <c r="I26" i="1"/>
  <c r="I31" i="1"/>
  <c r="I34" i="1"/>
  <c r="I33" i="1"/>
  <c r="I30" i="1"/>
  <c r="I32" i="1"/>
  <c r="I29" i="1"/>
  <c r="I28" i="1"/>
  <c r="I36" i="1"/>
  <c r="E34" i="1"/>
  <c r="E31" i="1"/>
  <c r="E30" i="1"/>
  <c r="E27" i="1"/>
  <c r="E37" i="1"/>
  <c r="E28" i="1"/>
  <c r="E25" i="1"/>
  <c r="E32" i="1"/>
  <c r="E29" i="1"/>
  <c r="E33" i="1"/>
  <c r="E35" i="1"/>
  <c r="E36" i="1"/>
  <c r="E26" i="1"/>
  <c r="J37" i="1"/>
  <c r="J32" i="1"/>
  <c r="J30" i="1"/>
  <c r="J28" i="1"/>
  <c r="J26" i="1"/>
  <c r="J25" i="1"/>
  <c r="J31" i="1"/>
  <c r="J34" i="1"/>
  <c r="J36" i="1"/>
  <c r="J27" i="1"/>
  <c r="J35" i="1"/>
  <c r="J29" i="1"/>
  <c r="J33" i="1"/>
  <c r="K34" i="1" l="1"/>
  <c r="L34" i="1" s="1"/>
  <c r="M34" i="1" s="1"/>
  <c r="K37" i="1"/>
  <c r="L37" i="1" s="1"/>
  <c r="M37" i="1" s="1"/>
  <c r="K27" i="1"/>
  <c r="L27" i="1" s="1"/>
  <c r="M27" i="1" s="1"/>
  <c r="L24" i="1"/>
  <c r="M24" i="1" s="1"/>
  <c r="N24" i="1" s="1"/>
  <c r="K36" i="1"/>
  <c r="L36" i="1" s="1"/>
  <c r="M36" i="1" s="1"/>
  <c r="K32" i="1"/>
  <c r="L32" i="1" s="1"/>
  <c r="M32" i="1" s="1"/>
  <c r="K31" i="1"/>
  <c r="L31" i="1" s="1"/>
  <c r="M31" i="1" s="1"/>
  <c r="K25" i="1"/>
  <c r="L25" i="1" s="1"/>
  <c r="M25" i="1" s="1"/>
  <c r="K26" i="1"/>
  <c r="L26" i="1" s="1"/>
  <c r="M26" i="1" s="1"/>
  <c r="K33" i="1"/>
  <c r="L33" i="1" s="1"/>
  <c r="M33" i="1" s="1"/>
  <c r="K29" i="1"/>
  <c r="L29" i="1" s="1"/>
  <c r="M29" i="1" s="1"/>
  <c r="K28" i="1"/>
  <c r="L28" i="1" s="1"/>
  <c r="M28" i="1" s="1"/>
  <c r="K35" i="1"/>
  <c r="L35" i="1" s="1"/>
  <c r="M35" i="1" s="1"/>
  <c r="K30" i="1"/>
  <c r="L30" i="1" s="1"/>
  <c r="M30" i="1" s="1"/>
  <c r="N25" i="1" l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G9" i="1" s="1"/>
  <c r="I4" i="1" s="1"/>
</calcChain>
</file>

<file path=xl/sharedStrings.xml><?xml version="1.0" encoding="utf-8"?>
<sst xmlns="http://schemas.openxmlformats.org/spreadsheetml/2006/main" count="48" uniqueCount="33">
  <si>
    <t>C_land</t>
  </si>
  <si>
    <t>S</t>
  </si>
  <si>
    <t>C</t>
  </si>
  <si>
    <t>C_royalties</t>
  </si>
  <si>
    <t>Tax:</t>
  </si>
  <si>
    <t>i</t>
  </si>
  <si>
    <t>TDC</t>
  </si>
  <si>
    <t>WC</t>
  </si>
  <si>
    <t>C_start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</si>
  <si>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</si>
  <si>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</si>
  <si>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</si>
  <si>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</si>
  <si>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</si>
  <si>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</si>
  <si>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</si>
  <si>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</si>
  <si>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</si>
  <si>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</si>
  <si>
    <t>BASE CASE</t>
  </si>
  <si>
    <t>FACTOR</t>
  </si>
  <si>
    <t>ACTUAL</t>
  </si>
  <si>
    <t>*IMPORTANT: DON'T CHANGE ANYTHING IN THE TABLE BELOW!</t>
  </si>
  <si>
    <t>Sensitivity Parameters</t>
  </si>
  <si>
    <t>+/- % change</t>
  </si>
  <si>
    <t>Low/High:</t>
  </si>
  <si>
    <t>Parameter:</t>
  </si>
  <si>
    <t>Base Case NPV:</t>
  </si>
  <si>
    <t>(Low)</t>
  </si>
  <si>
    <t>(High)</t>
  </si>
  <si>
    <t>Sensitivity Analysis Project</t>
  </si>
  <si>
    <t>*This table must be completed correctly</t>
  </si>
  <si>
    <t>to earn full credit for this project!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</si>
</sst>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9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 quotePrefix="1"/>
    <xf numFmtId="2" fontId="0" fillId="0" borderId="0" xfId="0" applyNumberFormat="1"/>
    <xf numFmtId="0" fontId="2" fillId="0" borderId="0" xfId="0" applyFont="1"/>
    <xf numFmtId="0" fontId="0" fillId="0" borderId="0" xfId="0" applyAlignment="1">
      <alignment horizontal="right"/>
    </xf>
    <xf numFmtId="0" fontId="0" fillId="0" borderId="2" xfId="0" applyBorder="1"/>
    <xf numFmtId="164" fontId="0" fillId="0" borderId="0" xfId="2" applyNumberFormat="1" applyFont="1" applyFill="1" applyBorder="1"/>
    <xf numFmtId="1" fontId="0" fillId="0" borderId="0" xfId="0" applyNumberFormat="1"/>
    <xf numFmtId="165" fontId="0" fillId="0" borderId="0" xfId="0" applyNumberFormat="1"/>
    <xf numFmtId="9" fontId="0" fillId="0" borderId="0" xfId="2" applyFont="1" applyFill="1" applyBorder="1"/>
    <xf numFmtId="9" fontId="0" fillId="0" borderId="0" xfId="2" applyFont="1"/>
    <xf numFmtId="9" fontId="0" fillId="0" borderId="1" xfId="2" applyFont="1" applyBorder="1"/>
    <xf numFmtId="0" fontId="0" fillId="0" borderId="1" xfId="0" applyBorder="1"/>
    <xf numFmtId="2" fontId="0" fillId="0" borderId="1" xfId="0" applyNumberFormat="1" applyBorder="1"/>
    <xf numFmtId="0" fontId="0" fillId="0" borderId="3" xfId="0" applyBorder="1"/>
    <xf numFmtId="2" fontId="0" fillId="0" borderId="4" xfId="0" applyNumberFormat="1" applyBorder="1"/>
    <xf numFmtId="0" fontId="0" fillId="0" borderId="5" xfId="0" applyBorder="1"/>
    <xf numFmtId="2" fontId="0" fillId="0" borderId="6" xfId="0" applyNumberFormat="1" applyBorder="1"/>
    <xf numFmtId="2" fontId="0" fillId="2" borderId="7" xfId="0" applyNumberFormat="1" applyFill="1" applyBorder="1"/>
    <xf numFmtId="0" fontId="0" fillId="0" borderId="8" xfId="0" applyBorder="1"/>
    <xf numFmtId="10" fontId="0" fillId="0" borderId="8" xfId="2" applyNumberFormat="1" applyFont="1" applyBorder="1"/>
    <xf numFmtId="10" fontId="0" fillId="0" borderId="9" xfId="2" applyNumberFormat="1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2" fontId="0" fillId="0" borderId="17" xfId="0" applyNumberFormat="1" applyBorder="1"/>
    <xf numFmtId="9" fontId="0" fillId="0" borderId="0" xfId="2" applyFont="1" applyBorder="1"/>
    <xf numFmtId="9" fontId="0" fillId="0" borderId="18" xfId="2" applyFont="1" applyBorder="1"/>
    <xf numFmtId="0" fontId="0" fillId="0" borderId="17" xfId="0" applyBorder="1"/>
    <xf numFmtId="2" fontId="0" fillId="0" borderId="18" xfId="0" applyNumberFormat="1" applyBorder="1"/>
    <xf numFmtId="0" fontId="0" fillId="0" borderId="19" xfId="0" applyBorder="1"/>
    <xf numFmtId="2" fontId="0" fillId="0" borderId="20" xfId="0" applyNumberFormat="1" applyBorder="1"/>
    <xf numFmtId="2" fontId="0" fillId="0" borderId="21" xfId="0" applyNumberFormat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Low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'Sensitivity Analysis'!$I$5:$I$13</c:f>
              <c:strCache>
                <c:ptCount val="9"/>
                <c:pt idx="0">
                  <c:v>C_land</c:v>
                </c:pt>
                <c:pt idx="1">
                  <c:v>C_royalties</c:v>
                </c:pt>
                <c:pt idx="2">
                  <c:v>TDC</c:v>
                </c:pt>
                <c:pt idx="3">
                  <c:v>WC</c:v>
                </c:pt>
                <c:pt idx="4">
                  <c:v>C_start</c:v>
                </c:pt>
                <c:pt idx="5">
                  <c:v>S</c:v>
                </c:pt>
                <c:pt idx="6">
                  <c:v>C</c:v>
                </c:pt>
                <c:pt idx="7">
                  <c:v>Tax:</c:v>
                </c:pt>
                <c:pt idx="8">
                  <c:v>i</c:v>
                </c:pt>
              </c:strCache>
            </c:strRef>
          </c:cat>
          <c:val>
            <c:numRef>
              <c:f>'Sensitivity Analysis'!$J$5:$J$13</c:f>
              <c:numCache>
                <c:formatCode>0.00</c:formatCode>
                <c:ptCount val="9"/>
                <c:pt idx="0">
                  <c:v>65.115528719442878</c:v>
                </c:pt>
                <c:pt idx="1">
                  <c:v>67.056715370649073</c:v>
                </c:pt>
                <c:pt idx="2">
                  <c:v>85.259592494708457</c:v>
                </c:pt>
                <c:pt idx="3">
                  <c:v>67.744952700890323</c:v>
                </c:pt>
                <c:pt idx="4">
                  <c:v>66.829814433728586</c:v>
                </c:pt>
                <c:pt idx="5">
                  <c:v>4.7115078994008508</c:v>
                </c:pt>
                <c:pt idx="6">
                  <c:v>69.505930801447022</c:v>
                </c:pt>
                <c:pt idx="7">
                  <c:v>88.001717785302077</c:v>
                </c:pt>
                <c:pt idx="8">
                  <c:v>110.25212272044718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E-481F-BFAB-E3FC2F00A6F2}"/>
            </c:ext>
          </c:extLst>
        </c:ser>
        <c:ser>
          <c:idx val="1"/>
          <c:order val="1"/>
          <c:tx>
            <c:v>High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'Sensitivity Analysis'!$I$5:$I$13</c:f>
              <c:strCache>
                <c:ptCount val="9"/>
                <c:pt idx="0">
                  <c:v>C_land</c:v>
                </c:pt>
                <c:pt idx="1">
                  <c:v>C_royalties</c:v>
                </c:pt>
                <c:pt idx="2">
                  <c:v>TDC</c:v>
                </c:pt>
                <c:pt idx="3">
                  <c:v>WC</c:v>
                </c:pt>
                <c:pt idx="4">
                  <c:v>C_start</c:v>
                </c:pt>
                <c:pt idx="5">
                  <c:v>S</c:v>
                </c:pt>
                <c:pt idx="6">
                  <c:v>C</c:v>
                </c:pt>
                <c:pt idx="7">
                  <c:v>Tax:</c:v>
                </c:pt>
                <c:pt idx="8">
                  <c:v>i</c:v>
                </c:pt>
              </c:strCache>
            </c:strRef>
          </c:cat>
          <c:val>
            <c:numRef>
              <c:f>'Sensitivity Analysis'!$K$5:$K$13</c:f>
              <c:numCache>
                <c:formatCode>0.00</c:formatCode>
                <c:ptCount val="9"/>
                <c:pt idx="0">
                  <c:v>62.115528719442864</c:v>
                </c:pt>
                <c:pt idx="1">
                  <c:v>60.174342068236655</c:v>
                </c:pt>
                <c:pt idx="2">
                  <c:v>41.971464944177278</c:v>
                </c:pt>
                <c:pt idx="3">
                  <c:v>59.486104737995447</c:v>
                </c:pt>
                <c:pt idx="4">
                  <c:v>60.40124300515717</c:v>
                </c:pt>
                <c:pt idx="5">
                  <c:v>122.51954953948484</c:v>
                </c:pt>
                <c:pt idx="6">
                  <c:v>57.725126637438649</c:v>
                </c:pt>
                <c:pt idx="7">
                  <c:v>39.229339653583629</c:v>
                </c:pt>
                <c:pt idx="8">
                  <c:v>29.896693878945911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2E-481F-BFAB-E3FC2F00A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329816840"/>
        <c:axId val="329816512"/>
      </c:barChart>
      <c:catAx>
        <c:axId val="3298168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816512"/>
        <c:crossesAt val="63.6"/>
        <c:auto val="1"/>
        <c:lblAlgn val="ctr"/>
        <c:lblOffset val="100"/>
        <c:noMultiLvlLbl val="0"/>
      </c:catAx>
      <c:valAx>
        <c:axId val="32981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Present Value ($ 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81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300038</xdr:colOff>
      <xdr:row>1</xdr:row>
      <xdr:rowOff>19050</xdr:rowOff>
    </xdr:from>
    <xdr:to>
      <xdr:col>18</xdr:col>
      <xdr:colOff>570051</xdr:colOff>
      <xdr:row>17</xdr:row>
      <xdr:rowOff>100013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10</xdr:row>
          <xdr:rowOff>161925</xdr:rowOff>
        </xdr:from>
        <xdr:to>
          <xdr:col>6</xdr:col>
          <xdr:colOff>552450</xdr:colOff>
          <xdr:row>13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7"/>
  <sheetViews>
    <sheetView tabSelected="1" zoomScaleNormal="100" workbookViewId="0">
      <selection activeCell="J10" sqref="J10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0" customWidth="1"/>
    <col min="4" max="4" width="10.140625" bestFit="1" customWidth="1"/>
    <col min="5" max="5" width="10.5703125" bestFit="1" customWidth="1"/>
    <col min="6" max="6" width="10.7109375" customWidth="1"/>
    <col min="7" max="7" width="12" bestFit="1" customWidth="1"/>
    <col min="8" max="8" width="11" customWidth="1"/>
    <col min="9" max="9" width="10.140625" bestFit="1" customWidth="1"/>
    <col min="10" max="10" width="9.140625" bestFit="1" customWidth="1"/>
  </cols>
  <sheetData>
    <row r="1" spans="1:11" x14ac:dyDescent="0.25">
      <c r="A1" s="5" t="s">
        <v>30</v>
      </c>
    </row>
    <row r="2" spans="1:11" ht="15.75" thickBot="1" x14ac:dyDescent="0.3"/>
    <row r="3" spans="1:11" x14ac:dyDescent="0.25">
      <c r="C3" s="5"/>
      <c r="D3" s="5"/>
      <c r="E3" s="5"/>
      <c r="F3" s="5" t="s">
        <v>23</v>
      </c>
      <c r="G3" s="5"/>
      <c r="I3" s="28"/>
      <c r="J3" s="29" t="s">
        <v>28</v>
      </c>
      <c r="K3" s="30" t="s">
        <v>29</v>
      </c>
    </row>
    <row r="4" spans="1:11" ht="15.75" thickBot="1" x14ac:dyDescent="0.3">
      <c r="B4" s="5" t="s">
        <v>19</v>
      </c>
      <c r="C4" s="5" t="s">
        <v>20</v>
      </c>
      <c r="D4" s="5" t="s">
        <v>21</v>
      </c>
      <c r="I4" s="31">
        <f>G9</f>
        <v>122.51954953948484</v>
      </c>
      <c r="J4" s="32">
        <f>1-change</f>
        <v>0.7</v>
      </c>
      <c r="K4" s="33">
        <f>1+change</f>
        <v>1.3</v>
      </c>
    </row>
    <row r="5" spans="1:11" ht="15.75" thickBot="1" x14ac:dyDescent="0.3">
      <c r="A5" t="s">
        <v>0</v>
      </c>
      <c r="B5" s="9">
        <v>-5</v>
      </c>
      <c r="C5" s="27">
        <f>IF($G$6=A5,IF($G$7=$J$4,1-change,1+change),1)</f>
        <v>1</v>
      </c>
      <c r="D5">
        <f>B5*C5</f>
        <v>-5</v>
      </c>
      <c r="F5" s="3" t="s">
        <v>24</v>
      </c>
      <c r="G5" s="13">
        <v>0.3</v>
      </c>
      <c r="I5" s="34" t="s">
        <v>0</v>
      </c>
      <c r="J5" s="4">
        <f t="dataTable" ref="J5:K13" dt2D="1" dtr="1" r1="G7" r2="G6"/>
        <v>65.115528719442878</v>
      </c>
      <c r="K5" s="35">
        <v>62.115528719442864</v>
      </c>
    </row>
    <row r="6" spans="1:11" ht="15.75" thickBot="1" x14ac:dyDescent="0.3">
      <c r="A6" t="s">
        <v>3</v>
      </c>
      <c r="B6" s="9">
        <v>-2</v>
      </c>
      <c r="C6" s="27">
        <f>IF($G$6=A6,IF($G$7=$J$4,1-change,1+change),1)</f>
        <v>1</v>
      </c>
      <c r="D6">
        <f t="shared" ref="D6:D13" si="0">B6*C6</f>
        <v>-2</v>
      </c>
      <c r="F6" t="s">
        <v>26</v>
      </c>
      <c r="G6" s="14" t="s">
        <v>1</v>
      </c>
      <c r="I6" s="34" t="s">
        <v>3</v>
      </c>
      <c r="J6" s="4">
        <v>67.056715370649073</v>
      </c>
      <c r="K6" s="35">
        <v>60.174342068236655</v>
      </c>
    </row>
    <row r="7" spans="1:11" ht="15.75" thickBot="1" x14ac:dyDescent="0.3">
      <c r="A7" t="s">
        <v>6</v>
      </c>
      <c r="B7" s="9">
        <v>-100</v>
      </c>
      <c r="C7" s="27">
        <f>IF($G$6=A7,IF($G$7=$J$4,1-change,1+change),1)</f>
        <v>1</v>
      </c>
      <c r="D7">
        <f t="shared" si="0"/>
        <v>-100</v>
      </c>
      <c r="F7" t="s">
        <v>25</v>
      </c>
      <c r="G7" s="13">
        <v>1.3</v>
      </c>
      <c r="I7" s="34" t="s">
        <v>6</v>
      </c>
      <c r="J7" s="4">
        <v>85.259592494708457</v>
      </c>
      <c r="K7" s="35">
        <v>41.971464944177278</v>
      </c>
    </row>
    <row r="8" spans="1:11" ht="15.75" thickBot="1" x14ac:dyDescent="0.3">
      <c r="A8" t="s">
        <v>7</v>
      </c>
      <c r="B8" s="9">
        <v>-20</v>
      </c>
      <c r="C8" s="27">
        <f>IF($G$6=A8,IF($G$7=$J$4,1-change,1+change),1)</f>
        <v>1</v>
      </c>
      <c r="D8">
        <f t="shared" si="0"/>
        <v>-20</v>
      </c>
      <c r="I8" s="34" t="s">
        <v>7</v>
      </c>
      <c r="J8" s="4">
        <v>67.744952700890323</v>
      </c>
      <c r="K8" s="35">
        <v>59.486104737995447</v>
      </c>
    </row>
    <row r="9" spans="1:11" ht="15.75" thickBot="1" x14ac:dyDescent="0.3">
      <c r="A9" t="s">
        <v>8</v>
      </c>
      <c r="B9" s="9">
        <v>-12</v>
      </c>
      <c r="C9" s="27">
        <f>IF($G$6=A9,IF($G$7=$J$4,1-change,1+change),1)</f>
        <v>1</v>
      </c>
      <c r="D9">
        <f t="shared" si="0"/>
        <v>-12</v>
      </c>
      <c r="F9" s="6" t="s">
        <v>27</v>
      </c>
      <c r="G9" s="15">
        <f>N37</f>
        <v>122.51954953948484</v>
      </c>
      <c r="I9" s="34" t="s">
        <v>8</v>
      </c>
      <c r="J9" s="4">
        <v>66.829814433728586</v>
      </c>
      <c r="K9" s="35">
        <v>60.40124300515717</v>
      </c>
    </row>
    <row r="10" spans="1:11" ht="15.75" thickBot="1" x14ac:dyDescent="0.3">
      <c r="A10" t="s">
        <v>1</v>
      </c>
      <c r="B10" s="9">
        <v>60</v>
      </c>
      <c r="C10" s="27">
        <f>IF($G$6=A10,IF($G$7=$J$4,1-change,1+change),1)</f>
        <v>1.3</v>
      </c>
      <c r="D10">
        <f t="shared" si="0"/>
        <v>78</v>
      </c>
      <c r="I10" s="34" t="s">
        <v>1</v>
      </c>
      <c r="J10" s="4">
        <v>4.7115078994008508</v>
      </c>
      <c r="K10" s="35">
        <v>122.51954953948484</v>
      </c>
    </row>
    <row r="11" spans="1:11" ht="15.75" thickBot="1" x14ac:dyDescent="0.3">
      <c r="A11" t="s">
        <v>2</v>
      </c>
      <c r="B11" s="10">
        <v>6</v>
      </c>
      <c r="C11" s="27">
        <f>IF($G$6=A11,IF($G$7=$J$4,1-change,1+change),1)</f>
        <v>1</v>
      </c>
      <c r="D11">
        <f t="shared" si="0"/>
        <v>6</v>
      </c>
      <c r="I11" s="34" t="s">
        <v>2</v>
      </c>
      <c r="J11" s="4">
        <v>69.505930801447022</v>
      </c>
      <c r="K11" s="35">
        <v>57.725126637438649</v>
      </c>
    </row>
    <row r="12" spans="1:11" ht="15.75" thickBot="1" x14ac:dyDescent="0.3">
      <c r="A12" t="s">
        <v>4</v>
      </c>
      <c r="B12" s="11">
        <v>0.37</v>
      </c>
      <c r="C12" s="27">
        <f>IF($G$6=A12,IF($G$7=$J$4,1-change,1+change),1)</f>
        <v>1</v>
      </c>
      <c r="D12" s="12">
        <f t="shared" si="0"/>
        <v>0.37</v>
      </c>
      <c r="I12" s="34" t="s">
        <v>4</v>
      </c>
      <c r="J12" s="4">
        <v>88.001717785302077</v>
      </c>
      <c r="K12" s="35">
        <v>39.229339653583629</v>
      </c>
    </row>
    <row r="13" spans="1:11" ht="15.75" thickBot="1" x14ac:dyDescent="0.3">
      <c r="A13" t="s">
        <v>5</v>
      </c>
      <c r="B13" s="8">
        <v>0.12</v>
      </c>
      <c r="C13" s="27">
        <f>IF($G$6=A13,IF($G$7=$J$4,1-change,1+change),1)</f>
        <v>1</v>
      </c>
      <c r="D13" s="12">
        <f t="shared" si="0"/>
        <v>0.12</v>
      </c>
      <c r="I13" s="36" t="s">
        <v>5</v>
      </c>
      <c r="J13" s="37">
        <v>110.25212272044718</v>
      </c>
      <c r="K13" s="38">
        <v>29.896693878945911</v>
      </c>
    </row>
    <row r="14" spans="1:11" x14ac:dyDescent="0.25">
      <c r="B14" s="8"/>
      <c r="D14" s="12"/>
      <c r="I14" s="34" t="s">
        <v>31</v>
      </c>
    </row>
    <row r="15" spans="1:11" x14ac:dyDescent="0.25">
      <c r="B15" s="8"/>
      <c r="D15" s="12"/>
      <c r="I15" s="34" t="s">
        <v>32</v>
      </c>
    </row>
    <row r="16" spans="1:11" x14ac:dyDescent="0.25">
      <c r="B16" s="8"/>
      <c r="D16" s="12"/>
    </row>
    <row r="17" spans="1:16" x14ac:dyDescent="0.25">
      <c r="B17" s="8"/>
      <c r="D17" s="12"/>
    </row>
    <row r="18" spans="1:16" x14ac:dyDescent="0.25">
      <c r="B18" s="8"/>
      <c r="D18" s="12"/>
    </row>
    <row r="19" spans="1:16" x14ac:dyDescent="0.25">
      <c r="B19" s="8"/>
      <c r="D19" s="12"/>
    </row>
    <row r="20" spans="1:16" x14ac:dyDescent="0.25">
      <c r="B20" s="8"/>
      <c r="F20" s="5" t="s">
        <v>22</v>
      </c>
    </row>
    <row r="21" spans="1:16" x14ac:dyDescent="0.25">
      <c r="B21" s="9"/>
    </row>
    <row r="22" spans="1:16" x14ac:dyDescent="0.25">
      <c r="A22" s="24" t="s">
        <v>9</v>
      </c>
      <c r="B22" s="25" t="s">
        <v>6</v>
      </c>
      <c r="C22" s="25" t="s">
        <v>7</v>
      </c>
      <c r="D22" s="25" t="s">
        <v>0</v>
      </c>
      <c r="E22" s="25" t="s">
        <v>10</v>
      </c>
      <c r="F22" s="25" t="s">
        <v>11</v>
      </c>
      <c r="G22" s="25" t="s">
        <v>12</v>
      </c>
      <c r="H22" s="25" t="s">
        <v>13</v>
      </c>
      <c r="I22" s="25" t="s">
        <v>1</v>
      </c>
      <c r="J22" s="25" t="s">
        <v>2</v>
      </c>
      <c r="K22" s="25" t="s">
        <v>14</v>
      </c>
      <c r="L22" s="25" t="s">
        <v>15</v>
      </c>
      <c r="M22" s="25" t="s">
        <v>16</v>
      </c>
      <c r="N22" s="26" t="s">
        <v>17</v>
      </c>
      <c r="P22" s="7" t="s">
        <v>18</v>
      </c>
    </row>
    <row r="23" spans="1:16" x14ac:dyDescent="0.25">
      <c r="A23" s="16">
        <v>1</v>
      </c>
      <c r="B23" s="4">
        <f>0.5*CTDC</f>
        <v>-50</v>
      </c>
      <c r="C23" s="4"/>
      <c r="D23" s="4">
        <f>Cland</f>
        <v>-5</v>
      </c>
      <c r="E23" s="4"/>
      <c r="F23" s="4"/>
      <c r="G23" s="4"/>
      <c r="H23" s="4"/>
      <c r="I23" s="4"/>
      <c r="J23" s="4"/>
      <c r="L23">
        <f>B23+D23</f>
        <v>-55</v>
      </c>
      <c r="M23" s="4">
        <f>L23/(1+i)^(A23-1)</f>
        <v>-55</v>
      </c>
      <c r="N23" s="17">
        <f>M23</f>
        <v>-55</v>
      </c>
      <c r="P23" s="21"/>
    </row>
    <row r="24" spans="1:16" x14ac:dyDescent="0.25">
      <c r="A24" s="16">
        <v>2</v>
      </c>
      <c r="B24" s="4">
        <f>0.5*CTDC</f>
        <v>-50</v>
      </c>
      <c r="C24" s="4">
        <f>WC</f>
        <v>-20</v>
      </c>
      <c r="D24" s="4"/>
      <c r="E24" s="4"/>
      <c r="F24" s="4">
        <f>Cstart</f>
        <v>-12</v>
      </c>
      <c r="G24" s="4"/>
      <c r="H24" s="4"/>
      <c r="I24" s="4"/>
      <c r="J24" s="4"/>
      <c r="L24">
        <f>B24+C24+F24</f>
        <v>-82</v>
      </c>
      <c r="M24" s="4">
        <f t="shared" ref="M23:M37" si="1">L24/(1+i)^(A24-1)</f>
        <v>-73.214285714285708</v>
      </c>
      <c r="N24" s="17">
        <f>N23+M24</f>
        <v>-128.21428571428572</v>
      </c>
      <c r="P24" s="21"/>
    </row>
    <row r="25" spans="1:16" x14ac:dyDescent="0.25">
      <c r="A25" s="16">
        <v>3</v>
      </c>
      <c r="B25" s="4"/>
      <c r="C25" s="4"/>
      <c r="D25" s="4"/>
      <c r="E25" s="4">
        <f t="shared" ref="E25:E37" si="2">Croyal</f>
        <v>-2</v>
      </c>
      <c r="F25" s="4"/>
      <c r="G25" s="4"/>
      <c r="H25" s="4">
        <f>P25*-CTDC</f>
        <v>14.29</v>
      </c>
      <c r="I25" s="4">
        <f>0.5*S</f>
        <v>39</v>
      </c>
      <c r="J25" s="4">
        <f>0.5*COS</f>
        <v>3</v>
      </c>
      <c r="K25" s="4">
        <f>(1-tax)*(I25-J25-H25)</f>
        <v>13.677300000000001</v>
      </c>
      <c r="L25" s="4">
        <f t="shared" ref="L25:L36" si="3">K25+H25+E25</f>
        <v>25.967300000000002</v>
      </c>
      <c r="M25" s="4">
        <f t="shared" si="1"/>
        <v>20.70097257653061</v>
      </c>
      <c r="N25" s="17">
        <f t="shared" ref="N25:N36" si="4">N24+M25</f>
        <v>-107.51331313775512</v>
      </c>
      <c r="P25" s="22">
        <v>0.1429</v>
      </c>
    </row>
    <row r="26" spans="1:16" x14ac:dyDescent="0.25">
      <c r="A26" s="16">
        <v>4</v>
      </c>
      <c r="B26" s="4"/>
      <c r="C26" s="4"/>
      <c r="D26" s="4"/>
      <c r="E26" s="4">
        <f t="shared" si="2"/>
        <v>-2</v>
      </c>
      <c r="F26" s="4"/>
      <c r="G26" s="4"/>
      <c r="H26" s="4">
        <f t="shared" ref="H26:H32" si="5">P26*-CTDC</f>
        <v>24.490000000000002</v>
      </c>
      <c r="I26" s="4">
        <f>0.8*S</f>
        <v>62.400000000000006</v>
      </c>
      <c r="J26" s="4">
        <f>0.8*COS</f>
        <v>4.8000000000000007</v>
      </c>
      <c r="K26" s="4">
        <f t="shared" ref="K26:K37" si="6">(1-tax)*(I26-J26-H26)</f>
        <v>20.859300000000005</v>
      </c>
      <c r="L26" s="4">
        <f t="shared" si="3"/>
        <v>43.349300000000007</v>
      </c>
      <c r="M26" s="4">
        <f t="shared" si="1"/>
        <v>30.855175496537896</v>
      </c>
      <c r="N26" s="17">
        <f t="shared" si="4"/>
        <v>-76.658137641217223</v>
      </c>
      <c r="P26" s="22">
        <v>0.24490000000000001</v>
      </c>
    </row>
    <row r="27" spans="1:16" x14ac:dyDescent="0.25">
      <c r="A27" s="16">
        <v>5</v>
      </c>
      <c r="B27" s="4"/>
      <c r="C27" s="4"/>
      <c r="D27" s="4"/>
      <c r="E27" s="4">
        <f t="shared" si="2"/>
        <v>-2</v>
      </c>
      <c r="F27" s="4"/>
      <c r="G27" s="4"/>
      <c r="H27" s="4">
        <f t="shared" si="5"/>
        <v>17.489999999999998</v>
      </c>
      <c r="I27" s="4">
        <f t="shared" ref="I27:I37" si="7">S</f>
        <v>78</v>
      </c>
      <c r="J27" s="4">
        <f t="shared" ref="J27:J37" si="8">COS</f>
        <v>6</v>
      </c>
      <c r="K27" s="4">
        <f t="shared" si="6"/>
        <v>34.341300000000004</v>
      </c>
      <c r="L27" s="4">
        <f t="shared" si="3"/>
        <v>49.831299999999999</v>
      </c>
      <c r="M27" s="4">
        <f t="shared" si="1"/>
        <v>31.668692020414664</v>
      </c>
      <c r="N27" s="17">
        <f t="shared" si="4"/>
        <v>-44.989445620802556</v>
      </c>
      <c r="P27" s="22">
        <v>0.1749</v>
      </c>
    </row>
    <row r="28" spans="1:16" x14ac:dyDescent="0.25">
      <c r="A28" s="16">
        <v>6</v>
      </c>
      <c r="B28" s="4"/>
      <c r="C28" s="4"/>
      <c r="D28" s="4"/>
      <c r="E28" s="4">
        <f t="shared" si="2"/>
        <v>-2</v>
      </c>
      <c r="F28" s="4"/>
      <c r="G28" s="4"/>
      <c r="H28" s="4">
        <f t="shared" si="5"/>
        <v>12.49</v>
      </c>
      <c r="I28" s="4">
        <f t="shared" si="7"/>
        <v>78</v>
      </c>
      <c r="J28" s="4">
        <f t="shared" si="8"/>
        <v>6</v>
      </c>
      <c r="K28" s="4">
        <f t="shared" si="6"/>
        <v>37.491300000000003</v>
      </c>
      <c r="L28" s="4">
        <f t="shared" si="3"/>
        <v>47.981300000000005</v>
      </c>
      <c r="M28" s="4">
        <f t="shared" si="1"/>
        <v>27.225878192290828</v>
      </c>
      <c r="N28" s="17">
        <f t="shared" si="4"/>
        <v>-17.763567428511728</v>
      </c>
      <c r="P28" s="22">
        <v>0.1249</v>
      </c>
    </row>
    <row r="29" spans="1:16" x14ac:dyDescent="0.25">
      <c r="A29" s="16">
        <v>7</v>
      </c>
      <c r="B29" s="4"/>
      <c r="C29" s="4"/>
      <c r="D29" s="4"/>
      <c r="E29" s="4">
        <f t="shared" si="2"/>
        <v>-2</v>
      </c>
      <c r="F29" s="4"/>
      <c r="G29" s="4"/>
      <c r="H29" s="4">
        <f t="shared" si="5"/>
        <v>8.93</v>
      </c>
      <c r="I29" s="4">
        <f t="shared" si="7"/>
        <v>78</v>
      </c>
      <c r="J29" s="4">
        <f t="shared" si="8"/>
        <v>6</v>
      </c>
      <c r="K29" s="4">
        <f t="shared" si="6"/>
        <v>39.734099999999998</v>
      </c>
      <c r="L29" s="4">
        <f t="shared" si="3"/>
        <v>46.664099999999998</v>
      </c>
      <c r="M29" s="4">
        <f t="shared" si="1"/>
        <v>23.641485301730608</v>
      </c>
      <c r="N29" s="17">
        <f t="shared" si="4"/>
        <v>5.8779178732188804</v>
      </c>
      <c r="P29" s="22">
        <v>8.9300000000000004E-2</v>
      </c>
    </row>
    <row r="30" spans="1:16" x14ac:dyDescent="0.25">
      <c r="A30" s="16">
        <v>8</v>
      </c>
      <c r="B30" s="4"/>
      <c r="C30" s="4"/>
      <c r="D30" s="4"/>
      <c r="E30" s="4">
        <f t="shared" si="2"/>
        <v>-2</v>
      </c>
      <c r="F30" s="4"/>
      <c r="G30" s="4"/>
      <c r="H30" s="4">
        <f t="shared" si="5"/>
        <v>8.92</v>
      </c>
      <c r="I30" s="4">
        <f t="shared" si="7"/>
        <v>78</v>
      </c>
      <c r="J30" s="4">
        <f t="shared" si="8"/>
        <v>6</v>
      </c>
      <c r="K30" s="4">
        <f t="shared" si="6"/>
        <v>39.740400000000001</v>
      </c>
      <c r="L30" s="4">
        <f t="shared" si="3"/>
        <v>46.660400000000003</v>
      </c>
      <c r="M30" s="4">
        <f t="shared" si="1"/>
        <v>21.106795327305583</v>
      </c>
      <c r="N30" s="17">
        <f t="shared" si="4"/>
        <v>26.984713200524464</v>
      </c>
      <c r="P30" s="22">
        <v>8.9200000000000002E-2</v>
      </c>
    </row>
    <row r="31" spans="1:16" x14ac:dyDescent="0.25">
      <c r="A31" s="16">
        <v>9</v>
      </c>
      <c r="B31" s="4"/>
      <c r="C31" s="4"/>
      <c r="D31" s="4"/>
      <c r="E31" s="4">
        <f t="shared" si="2"/>
        <v>-2</v>
      </c>
      <c r="F31" s="4"/>
      <c r="G31" s="4"/>
      <c r="H31" s="4">
        <f t="shared" si="5"/>
        <v>8.93</v>
      </c>
      <c r="I31" s="4">
        <f t="shared" si="7"/>
        <v>78</v>
      </c>
      <c r="J31" s="4">
        <f t="shared" si="8"/>
        <v>6</v>
      </c>
      <c r="K31" s="4">
        <f t="shared" si="6"/>
        <v>39.734099999999998</v>
      </c>
      <c r="L31" s="4">
        <f t="shared" si="3"/>
        <v>46.664099999999998</v>
      </c>
      <c r="M31" s="4">
        <f t="shared" si="1"/>
        <v>18.846847338752077</v>
      </c>
      <c r="N31" s="17">
        <f t="shared" si="4"/>
        <v>45.831560539276538</v>
      </c>
      <c r="P31" s="22">
        <v>8.9300000000000004E-2</v>
      </c>
    </row>
    <row r="32" spans="1:16" x14ac:dyDescent="0.25">
      <c r="A32" s="16">
        <v>10</v>
      </c>
      <c r="B32" s="4"/>
      <c r="C32" s="4"/>
      <c r="D32" s="4"/>
      <c r="E32" s="4">
        <f t="shared" si="2"/>
        <v>-2</v>
      </c>
      <c r="F32" s="4"/>
      <c r="G32" s="4"/>
      <c r="H32" s="4">
        <f t="shared" si="5"/>
        <v>4.46</v>
      </c>
      <c r="I32" s="4">
        <f t="shared" si="7"/>
        <v>78</v>
      </c>
      <c r="J32" s="4">
        <f t="shared" si="8"/>
        <v>6</v>
      </c>
      <c r="K32" s="4">
        <f t="shared" si="6"/>
        <v>42.550200000000004</v>
      </c>
      <c r="L32" s="4">
        <f t="shared" si="3"/>
        <v>45.010200000000005</v>
      </c>
      <c r="M32" s="4">
        <f t="shared" si="1"/>
        <v>16.231129346425895</v>
      </c>
      <c r="N32" s="17">
        <f t="shared" si="4"/>
        <v>62.062689885702433</v>
      </c>
      <c r="P32" s="23">
        <v>4.4600000000000001E-2</v>
      </c>
    </row>
    <row r="33" spans="1:14" x14ac:dyDescent="0.25">
      <c r="A33" s="16">
        <v>11</v>
      </c>
      <c r="B33" s="4"/>
      <c r="C33" s="4"/>
      <c r="D33" s="4"/>
      <c r="E33" s="4">
        <f t="shared" si="2"/>
        <v>-2</v>
      </c>
      <c r="F33" s="4"/>
      <c r="G33" s="4"/>
      <c r="H33" s="4"/>
      <c r="I33" s="4">
        <f t="shared" si="7"/>
        <v>78</v>
      </c>
      <c r="J33" s="4">
        <f t="shared" si="8"/>
        <v>6</v>
      </c>
      <c r="K33" s="4">
        <f t="shared" si="6"/>
        <v>45.36</v>
      </c>
      <c r="L33" s="4">
        <f t="shared" si="3"/>
        <v>43.36</v>
      </c>
      <c r="M33" s="4">
        <f t="shared" si="1"/>
        <v>13.960759538572578</v>
      </c>
      <c r="N33" s="17">
        <f t="shared" si="4"/>
        <v>76.023449424275015</v>
      </c>
    </row>
    <row r="34" spans="1:14" x14ac:dyDescent="0.25">
      <c r="A34" s="16">
        <v>12</v>
      </c>
      <c r="B34" s="4"/>
      <c r="C34" s="4"/>
      <c r="D34" s="4"/>
      <c r="E34" s="4">
        <f t="shared" si="2"/>
        <v>-2</v>
      </c>
      <c r="F34" s="4"/>
      <c r="G34" s="4"/>
      <c r="H34" s="4"/>
      <c r="I34" s="4">
        <f t="shared" si="7"/>
        <v>78</v>
      </c>
      <c r="J34" s="4">
        <f t="shared" si="8"/>
        <v>6</v>
      </c>
      <c r="K34" s="4">
        <f t="shared" si="6"/>
        <v>45.36</v>
      </c>
      <c r="L34" s="4">
        <f t="shared" si="3"/>
        <v>43.36</v>
      </c>
      <c r="M34" s="4">
        <f t="shared" si="1"/>
        <v>12.464963873725514</v>
      </c>
      <c r="N34" s="17">
        <f t="shared" si="4"/>
        <v>88.488413298000523</v>
      </c>
    </row>
    <row r="35" spans="1:14" x14ac:dyDescent="0.25">
      <c r="A35" s="16">
        <v>13</v>
      </c>
      <c r="B35" s="4"/>
      <c r="C35" s="4"/>
      <c r="D35" s="4"/>
      <c r="E35" s="4">
        <f t="shared" si="2"/>
        <v>-2</v>
      </c>
      <c r="F35" s="4"/>
      <c r="G35" s="4"/>
      <c r="H35" s="4"/>
      <c r="I35" s="4">
        <f t="shared" si="7"/>
        <v>78</v>
      </c>
      <c r="J35" s="4">
        <f t="shared" si="8"/>
        <v>6</v>
      </c>
      <c r="K35" s="4">
        <f t="shared" si="6"/>
        <v>45.36</v>
      </c>
      <c r="L35" s="4">
        <f t="shared" si="3"/>
        <v>43.36</v>
      </c>
      <c r="M35" s="4">
        <f t="shared" si="1"/>
        <v>11.129432030112067</v>
      </c>
      <c r="N35" s="17">
        <f t="shared" si="4"/>
        <v>99.617845328112594</v>
      </c>
    </row>
    <row r="36" spans="1:14" ht="15.75" thickBot="1" x14ac:dyDescent="0.3">
      <c r="A36" s="16">
        <v>14</v>
      </c>
      <c r="B36" s="4"/>
      <c r="C36" s="4"/>
      <c r="D36" s="4"/>
      <c r="E36" s="4">
        <f t="shared" si="2"/>
        <v>-2</v>
      </c>
      <c r="F36" s="4"/>
      <c r="G36" s="4"/>
      <c r="H36" s="4"/>
      <c r="I36" s="4">
        <f t="shared" si="7"/>
        <v>78</v>
      </c>
      <c r="J36" s="4">
        <f t="shared" si="8"/>
        <v>6</v>
      </c>
      <c r="K36" s="4">
        <f t="shared" si="6"/>
        <v>45.36</v>
      </c>
      <c r="L36" s="4">
        <f t="shared" si="3"/>
        <v>43.36</v>
      </c>
      <c r="M36" s="4">
        <f t="shared" si="1"/>
        <v>9.9369928840286299</v>
      </c>
      <c r="N36" s="17">
        <f t="shared" si="4"/>
        <v>109.55483821214122</v>
      </c>
    </row>
    <row r="37" spans="1:14" x14ac:dyDescent="0.25">
      <c r="A37" s="18">
        <v>15</v>
      </c>
      <c r="B37" s="19"/>
      <c r="C37" s="19">
        <f>-WC</f>
        <v>20</v>
      </c>
      <c r="D37" s="19"/>
      <c r="E37" s="19">
        <f t="shared" si="2"/>
        <v>-2</v>
      </c>
      <c r="F37" s="19"/>
      <c r="G37" s="19"/>
      <c r="H37" s="19"/>
      <c r="I37" s="19">
        <f t="shared" si="7"/>
        <v>78</v>
      </c>
      <c r="J37" s="19">
        <f t="shared" si="8"/>
        <v>6</v>
      </c>
      <c r="K37" s="19">
        <f t="shared" si="6"/>
        <v>45.36</v>
      </c>
      <c r="L37" s="19">
        <f>C37+K37+G37+E37</f>
        <v>63.36</v>
      </c>
      <c r="M37" s="19">
        <f t="shared" si="1"/>
        <v>12.964711327343625</v>
      </c>
      <c r="N37" s="20">
        <f>N36+M37</f>
        <v>122.51954953948484</v>
      </c>
    </row>
    <row r="38" spans="1:14" x14ac:dyDescent="0.25">
      <c r="C38" s="3"/>
      <c r="D38" s="2"/>
      <c r="E38" s="1"/>
      <c r="F38" s="2"/>
      <c r="G38" s="1"/>
      <c r="H38" s="1"/>
    </row>
    <row r="39" spans="1:14" x14ac:dyDescent="0.25">
      <c r="D39" s="4"/>
    </row>
    <row r="40" spans="1:14" x14ac:dyDescent="0.25">
      <c r="D40" s="4"/>
    </row>
    <row r="41" spans="1:14" x14ac:dyDescent="0.25">
      <c r="D41" s="4"/>
    </row>
    <row r="42" spans="1:14" x14ac:dyDescent="0.25">
      <c r="D42" s="4"/>
    </row>
    <row r="43" spans="1:14" x14ac:dyDescent="0.25">
      <c r="D43" s="4"/>
    </row>
    <row r="44" spans="1:14" x14ac:dyDescent="0.25">
      <c r="D44" s="4"/>
    </row>
    <row r="45" spans="1:14" x14ac:dyDescent="0.25">
      <c r="D45" s="4"/>
    </row>
    <row r="46" spans="1:14" x14ac:dyDescent="0.25">
      <c r="D46" s="4"/>
    </row>
    <row r="47" spans="1:14" x14ac:dyDescent="0.25">
      <c r="D47" s="4"/>
    </row>
    <row r="48" spans="1:14" x14ac:dyDescent="0.25">
      <c r="D48" s="4"/>
    </row>
    <row r="49" spans="4:4" x14ac:dyDescent="0.25">
      <c r="D49" s="4"/>
    </row>
    <row r="50" spans="4:4" x14ac:dyDescent="0.25">
      <c r="D50" s="4"/>
    </row>
    <row r="51" spans="4:4" x14ac:dyDescent="0.25">
      <c r="D51" s="4"/>
    </row>
    <row r="52" spans="4:4" x14ac:dyDescent="0.25">
      <c r="D52" s="4"/>
    </row>
    <row r="53" spans="4:4" x14ac:dyDescent="0.25">
      <c r="D53" s="4"/>
    </row>
    <row r="54" spans="4:4" x14ac:dyDescent="0.25">
      <c r="D54" s="4"/>
    </row>
    <row r="55" spans="4:4" x14ac:dyDescent="0.25">
      <c r="D55" s="4"/>
    </row>
    <row r="56" spans="4:4" x14ac:dyDescent="0.25">
      <c r="D56" s="4"/>
    </row>
    <row r="57" spans="4:4" x14ac:dyDescent="0.25">
      <c r="D57" s="4"/>
    </row>
  </sheetData>
  <dataValidations count="2">
    <dataValidation type="list" allowBlank="1" showInputMessage="1" showErrorMessage="1" sqref="G6" xr:uid="{9814CF43-BADE-4258-861A-042124F79CFF}">
      <formula1>$A$5:$A$13</formula1>
    </dataValidation>
    <dataValidation type="list" allowBlank="1" showInputMessage="1" showErrorMessage="1" sqref="G7" xr:uid="{0AC79BFD-D6E2-4398-904C-3B4657BF981B}">
      <formula1>$J$4:$K$4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rade">
                <anchor moveWithCells="1" sizeWithCells="1">
                  <from>
                    <xdr:col>5</xdr:col>
                    <xdr:colOff>476250</xdr:colOff>
                    <xdr:row>10</xdr:row>
                    <xdr:rowOff>161925</xdr:rowOff>
                  </from>
                  <to>
                    <xdr:col>6</xdr:col>
                    <xdr:colOff>552450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Sensitivity Analysis</vt:lpstr>
      <vt:lpstr>change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Ashik Uz Zaman</cp:lastModifiedBy>
  <dcterms:created xsi:type="dcterms:W3CDTF">2013-10-29T18:00:12Z</dcterms:created>
  <dcterms:modified xsi:type="dcterms:W3CDTF">2023-08-25T08:39:05Z</dcterms:modified>
</cp:coreProperties>
</file>