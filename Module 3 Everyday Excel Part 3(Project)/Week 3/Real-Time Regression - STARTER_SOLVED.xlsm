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ASHik\Me\Dream\Coursera\EveryDay Excel\Every Day Excel Part 3\Course Files\"/>
    </mc:Choice>
  </mc:AlternateContent>
  <xr:revisionPtr revIDLastSave="0" documentId="13_ncr:1_{AE2B0AC3-B412-40F1-97D7-9ACEC8417527}" xr6:coauthVersionLast="47" xr6:coauthVersionMax="47" xr10:uidLastSave="{00000000-0000-0000-0000-000000000000}"/>
  <bookViews>
    <workbookView xWindow="-120" yWindow="-120" windowWidth="29040" windowHeight="15840" xr2:uid="{92503F77-4EF9-43FE-84EA-261630EEFA20}"/>
  </bookViews>
  <sheets>
    <sheet name="Dashboard" sheetId="1" r:id="rId1"/>
    <sheet name="Calculations" sheetId="2" r:id="rId2"/>
    <sheet name="Original Data" sheetId="4" r:id="rId3"/>
  </sheets>
  <definedNames>
    <definedName name="Beta">MMULT(XtXinv,Xty)</definedName>
    <definedName name="n">COUNTA(xdata)</definedName>
    <definedName name="p">COUNTA(Beta)</definedName>
    <definedName name="res">ydata-ypred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Dashboard!$B$7</definedName>
    <definedName name="solver_typ" localSheetId="0" hidden="1">1</definedName>
    <definedName name="solver_val" localSheetId="0" hidden="1">0</definedName>
    <definedName name="solver_ver" localSheetId="0" hidden="1">3</definedName>
    <definedName name="SSE">SUMSQ(res)</definedName>
    <definedName name="SST">SUMSQ(_xlfn.ANCHORARRAY(Calculations!XFB1048574))</definedName>
    <definedName name="SST_1">Calculations!$M$6</definedName>
    <definedName name="X">OFFSET(Calculations!$A$3,0,0,COUNTA(Calculations!$A$3:$A$22),Dashboard!$E$2+1)</definedName>
    <definedName name="xdata">OFFSET(Dashboard!$A$2,0,0,COUNTA(Dashboard!$A$2:$A$21),1)</definedName>
    <definedName name="Xt">TRANSPOSE(X)</definedName>
    <definedName name="XtX">MMULT(Xt,X)</definedName>
    <definedName name="XtXinv">MINVERSE(XtX)</definedName>
    <definedName name="Xty">MMULT(Xt,ydata)</definedName>
    <definedName name="ybar">AVERAGE(ydata)</definedName>
    <definedName name="ydata">OFFSET(Dashboard!$B$2,0,0,COUNTA(Dashboard!$B$2:$B$21),1)</definedName>
    <definedName name="ypred">MMULT(X,Beta)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2" l="1" a="1"/>
  <c r="J3" i="2" s="1"/>
  <c r="M6" i="2" s="1"/>
  <c r="M5" i="2" a="1"/>
  <c r="M5" i="2" s="1"/>
  <c r="M8" i="2" a="1"/>
  <c r="M8" i="2" s="1"/>
  <c r="G3" i="2" a="1"/>
  <c r="G3" i="2" s="1"/>
  <c r="D3" i="2" a="1"/>
  <c r="D3" i="2" s="1"/>
  <c r="E3" i="2" a="1"/>
  <c r="E3" i="2" s="1"/>
  <c r="C3" i="2" a="1"/>
  <c r="C3" i="2" s="1"/>
  <c r="B3" i="2" a="1"/>
  <c r="B3" i="2" s="1"/>
  <c r="A3" i="2" a="1"/>
  <c r="A3" i="2" s="1"/>
  <c r="H6" i="1" l="1" a="1"/>
  <c r="H6" i="1" s="1"/>
  <c r="G39" i="2" a="1"/>
  <c r="G39" i="2" s="1"/>
  <c r="H39" i="2" s="1" a="1"/>
  <c r="H39" i="2" s="1"/>
  <c r="E5" i="1" s="1" a="1"/>
  <c r="E5" i="1" s="1"/>
  <c r="J8" i="1" a="1"/>
  <c r="J8" i="1" s="1"/>
  <c r="I3" i="2" a="1"/>
  <c r="I3" i="2" s="1"/>
  <c r="H5" i="1" a="1"/>
  <c r="H5" i="1" s="1"/>
  <c r="M9" i="2" a="1"/>
  <c r="M9" i="2" s="1"/>
  <c r="M3" i="2" a="1"/>
  <c r="M3" i="2" s="1"/>
  <c r="H3" i="2" a="1"/>
  <c r="H3" i="2" s="1"/>
  <c r="G32" i="2" a="1"/>
  <c r="G32" i="2" s="1"/>
  <c r="A39" i="2" a="1"/>
  <c r="A39" i="2" s="1"/>
  <c r="A32" i="2" a="1"/>
  <c r="A32" i="2" s="1"/>
  <c r="A25" i="2" a="1"/>
  <c r="A25" i="2" s="1"/>
  <c r="J39" i="2" l="1" a="1"/>
  <c r="J39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<sst xmlns="http://schemas.openxmlformats.org/spreadsheetml/2006/main" count="60" uniqueCount="44">
  <si>
    <t>x</t>
  </si>
  <si>
    <t>y</t>
  </si>
  <si>
    <t>Order:</t>
  </si>
  <si>
    <t>X</t>
  </si>
  <si>
    <t>XtX</t>
  </si>
  <si>
    <t>Xt</t>
  </si>
  <si>
    <t>XtXinv</t>
  </si>
  <si>
    <t>Xty</t>
  </si>
  <si>
    <t>Beta</t>
  </si>
  <si>
    <t>Beta0</t>
  </si>
  <si>
    <t>Beta1</t>
  </si>
  <si>
    <t>Beta2</t>
  </si>
  <si>
    <t>Beta3</t>
  </si>
  <si>
    <t>Beta4</t>
  </si>
  <si>
    <t>Model Coefficients</t>
  </si>
  <si>
    <t>Standard Error:</t>
  </si>
  <si>
    <r>
      <t>R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-Adj:</t>
    </r>
  </si>
  <si>
    <t>ypred</t>
  </si>
  <si>
    <t>res</t>
  </si>
  <si>
    <t>ybar</t>
  </si>
  <si>
    <t>y-ybar</t>
  </si>
  <si>
    <t>SSE</t>
  </si>
  <si>
    <t>n</t>
  </si>
  <si>
    <t>p</t>
  </si>
  <si>
    <t>SST_1</t>
  </si>
  <si>
    <t>=MMULT(XtXinv,Xty)</t>
  </si>
  <si>
    <t>=COUNTA(xdata)</t>
  </si>
  <si>
    <t>=COUNTA(Beta)</t>
  </si>
  <si>
    <t>=ydata-ypred</t>
  </si>
  <si>
    <t>=SUMSQ(res)</t>
  </si>
  <si>
    <t>SST</t>
  </si>
  <si>
    <t>=SUMSQ(Calculations!I5#)</t>
  </si>
  <si>
    <t>=Calculations!$M$6</t>
  </si>
  <si>
    <t>=OFFSET(Calculations!$A$3,0,0,COUNTA(Calculations!$A$3:$A$22),Dashboard!$E$2+1)</t>
  </si>
  <si>
    <t>xdata</t>
  </si>
  <si>
    <t>=OFFSET(Dashboard!$A$2,0,0,COUNTA(Dashboard!$A$2:$A$21),1)</t>
  </si>
  <si>
    <t>=TRANSPOSE(X)</t>
  </si>
  <si>
    <t>=MMULT(Xt,X)</t>
  </si>
  <si>
    <t>=MINVERSE(XtX)</t>
  </si>
  <si>
    <t>=MMULT(Xt,ydata)</t>
  </si>
  <si>
    <t>=AVERAGE(ydata)</t>
  </si>
  <si>
    <t>ydata</t>
  </si>
  <si>
    <t>=OFFSET(Dashboard!$B$2,0,0,COUNTA(Dashboard!$B$2:$B$21),1)</t>
  </si>
  <si>
    <t>=MMULT(X,Beta)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</si>
</sst>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vertAlign val="superscript"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2" fontId="0" fillId="0" borderId="3" xfId="0" applyNumberFormat="1" applyBorder="1"/>
    <xf numFmtId="2" fontId="0" fillId="0" borderId="5" xfId="0" applyNumberFormat="1" applyBorder="1"/>
    <xf numFmtId="2" fontId="0" fillId="0" borderId="8" xfId="0" applyNumberFormat="1" applyBorder="1"/>
    <xf numFmtId="0" fontId="0" fillId="0" borderId="12" xfId="0" applyBorder="1"/>
    <xf numFmtId="0" fontId="0" fillId="0" borderId="13" xfId="0" applyBorder="1"/>
    <xf numFmtId="0" fontId="1" fillId="0" borderId="0" xfId="0" applyFont="1"/>
    <xf numFmtId="0" fontId="0" fillId="0" borderId="6" xfId="0" applyBorder="1" applyAlignment="1">
      <alignment horizontal="right"/>
    </xf>
    <xf numFmtId="164" fontId="0" fillId="0" borderId="3" xfId="0" applyNumberFormat="1" applyBorder="1"/>
    <xf numFmtId="164" fontId="0" fillId="0" borderId="8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10</xdr:row>
          <xdr:rowOff>95250</xdr:rowOff>
        </xdr:from>
        <xdr:to>
          <xdr:col>4</xdr:col>
          <xdr:colOff>581025</xdr:colOff>
          <xdr:row>13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14</xdr:row>
          <xdr:rowOff>171450</xdr:rowOff>
        </xdr:from>
        <xdr:to>
          <xdr:col>4</xdr:col>
          <xdr:colOff>600075</xdr:colOff>
          <xdr:row>18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6819F-B48A-4F9B-9593-48B24B277745}">
  <sheetPr codeName="Sheet1"/>
  <dimension ref="A1:M21"/>
  <sheetViews>
    <sheetView tabSelected="1" workbookViewId="0">
      <selection activeCell="I15" sqref="I15"/>
    </sheetView>
  </sheetViews>
  <sheetFormatPr defaultRowHeight="15" x14ac:dyDescent="0.25"/>
  <cols>
    <col min="7" max="7" width="12.85546875" bestFit="1" customWidth="1"/>
  </cols>
  <sheetData>
    <row r="1" spans="1:13" x14ac:dyDescent="0.25">
      <c r="A1" t="s">
        <v>0</v>
      </c>
      <c r="B1" t="s">
        <v>1</v>
      </c>
    </row>
    <row r="2" spans="1:13" x14ac:dyDescent="0.25">
      <c r="A2" s="1">
        <v>1</v>
      </c>
      <c r="B2" s="3">
        <v>5</v>
      </c>
      <c r="D2" s="15" t="s">
        <v>2</v>
      </c>
      <c r="E2" s="16">
        <v>1</v>
      </c>
    </row>
    <row r="3" spans="1:13" x14ac:dyDescent="0.25">
      <c r="A3" s="4">
        <v>2</v>
      </c>
      <c r="B3" s="5">
        <v>6</v>
      </c>
      <c r="L3" t="s">
        <v>8</v>
      </c>
      <c r="M3" t="s">
        <v>25</v>
      </c>
    </row>
    <row r="4" spans="1:13" x14ac:dyDescent="0.25">
      <c r="A4" s="4">
        <v>3</v>
      </c>
      <c r="B4" s="5">
        <v>10</v>
      </c>
      <c r="D4" s="17" t="s">
        <v>14</v>
      </c>
      <c r="L4" t="s">
        <v>22</v>
      </c>
      <c r="M4" t="s">
        <v>26</v>
      </c>
    </row>
    <row r="5" spans="1:13" x14ac:dyDescent="0.25">
      <c r="A5" s="4">
        <v>4</v>
      </c>
      <c r="B5" s="5">
        <v>20</v>
      </c>
      <c r="D5" s="1" t="s">
        <v>9</v>
      </c>
      <c r="E5" s="12" cm="1">
        <f t="array" aca="1" ref="E5:E9" ca="1">OFFSET(Calculations!H39,0,0,5,1)</f>
        <v>-1.1388888888888857</v>
      </c>
      <c r="G5" s="1" t="s">
        <v>15</v>
      </c>
      <c r="H5" s="19" cm="1">
        <f t="array" aca="1" ref="H5" ca="1">SQRT(SSE/(n-p))</f>
        <v>3.1968486466896224</v>
      </c>
      <c r="L5" t="s">
        <v>23</v>
      </c>
      <c r="M5" t="s">
        <v>27</v>
      </c>
    </row>
    <row r="6" spans="1:13" ht="17.25" x14ac:dyDescent="0.25">
      <c r="A6" s="4">
        <v>5</v>
      </c>
      <c r="B6" s="5">
        <v>28</v>
      </c>
      <c r="D6" s="4" t="s">
        <v>10</v>
      </c>
      <c r="E6" s="13">
        <f ca="1"/>
        <v>4.9833333333333343</v>
      </c>
      <c r="G6" s="18" t="s">
        <v>16</v>
      </c>
      <c r="H6" s="20" cm="1">
        <f t="array" aca="1" ref="H6" ca="1">1-(SSE/(n-p)/(SST_1/(n-1)))</f>
        <v>0.94764276565898875</v>
      </c>
      <c r="L6" t="s">
        <v>18</v>
      </c>
      <c r="M6" t="s">
        <v>28</v>
      </c>
    </row>
    <row r="7" spans="1:13" x14ac:dyDescent="0.25">
      <c r="A7" s="4">
        <v>6</v>
      </c>
      <c r="B7" s="5">
        <v>33</v>
      </c>
      <c r="D7" s="4" t="s">
        <v>11</v>
      </c>
      <c r="E7" s="13" t="str">
        <f ca="1"/>
        <v>N/A</v>
      </c>
      <c r="L7" t="s">
        <v>21</v>
      </c>
      <c r="M7" t="s">
        <v>29</v>
      </c>
    </row>
    <row r="8" spans="1:13" x14ac:dyDescent="0.25">
      <c r="A8" s="4">
        <v>7</v>
      </c>
      <c r="B8" s="5">
        <v>34</v>
      </c>
      <c r="D8" s="4" t="s">
        <v>12</v>
      </c>
      <c r="E8" s="13" t="str">
        <f ca="1"/>
        <v>N/A</v>
      </c>
      <c r="J8" t="str" cm="1">
        <f t="array" aca="1" ref="J8:J9" ca="1">IF(ISBLANK(Beta),"N/A","")</f>
        <v/>
      </c>
      <c r="L8" t="s">
        <v>30</v>
      </c>
      <c r="M8" t="s">
        <v>31</v>
      </c>
    </row>
    <row r="9" spans="1:13" x14ac:dyDescent="0.25">
      <c r="A9" s="4">
        <v>8</v>
      </c>
      <c r="B9" s="5">
        <v>36</v>
      </c>
      <c r="D9" s="6" t="s">
        <v>13</v>
      </c>
      <c r="E9" s="14" t="str">
        <f ca="1"/>
        <v>N/A</v>
      </c>
      <c r="J9" t="str">
        <f ca="1"/>
        <v/>
      </c>
      <c r="L9" t="s">
        <v>24</v>
      </c>
      <c r="M9" t="s">
        <v>32</v>
      </c>
    </row>
    <row r="10" spans="1:13" x14ac:dyDescent="0.25">
      <c r="A10" s="4">
        <v>9</v>
      </c>
      <c r="B10" s="5">
        <v>42</v>
      </c>
      <c r="L10" t="s">
        <v>3</v>
      </c>
      <c r="M10" t="s">
        <v>33</v>
      </c>
    </row>
    <row r="11" spans="1:13" x14ac:dyDescent="0.25">
      <c r="A11" s="4"/>
      <c r="B11" s="5"/>
      <c r="L11" t="s">
        <v>34</v>
      </c>
      <c r="M11" t="s">
        <v>35</v>
      </c>
    </row>
    <row r="12" spans="1:13" x14ac:dyDescent="0.25">
      <c r="A12" s="4"/>
      <c r="B12" s="5"/>
      <c r="L12" t="s">
        <v>5</v>
      </c>
      <c r="M12" t="s">
        <v>36</v>
      </c>
    </row>
    <row r="13" spans="1:13" x14ac:dyDescent="0.25">
      <c r="A13" s="4"/>
      <c r="B13" s="5"/>
      <c r="L13" t="s">
        <v>4</v>
      </c>
      <c r="M13" t="s">
        <v>37</v>
      </c>
    </row>
    <row r="14" spans="1:13" x14ac:dyDescent="0.25">
      <c r="A14" s="4"/>
      <c r="B14" s="5"/>
      <c r="L14" t="s">
        <v>6</v>
      </c>
      <c r="M14" t="s">
        <v>38</v>
      </c>
    </row>
    <row r="15" spans="1:13" x14ac:dyDescent="0.25">
      <c r="A15" s="4"/>
      <c r="B15" s="5"/>
      <c r="L15" t="s">
        <v>7</v>
      </c>
      <c r="M15" t="s">
        <v>39</v>
      </c>
    </row>
    <row r="16" spans="1:13" x14ac:dyDescent="0.25">
      <c r="A16" s="4"/>
      <c r="B16" s="5"/>
      <c r="L16" t="s">
        <v>19</v>
      </c>
      <c r="M16" t="s">
        <v>40</v>
      </c>
    </row>
    <row r="17" spans="1:13" x14ac:dyDescent="0.25">
      <c r="A17" s="4"/>
      <c r="B17" s="5"/>
      <c r="L17" t="s">
        <v>41</v>
      </c>
      <c r="M17" t="s">
        <v>42</v>
      </c>
    </row>
    <row r="18" spans="1:13" x14ac:dyDescent="0.25">
      <c r="A18" s="4"/>
      <c r="B18" s="5"/>
      <c r="L18" t="s">
        <v>17</v>
      </c>
      <c r="M18" t="s">
        <v>43</v>
      </c>
    </row>
    <row r="19" spans="1:13" x14ac:dyDescent="0.25">
      <c r="A19" s="4"/>
      <c r="B19" s="5"/>
    </row>
    <row r="20" spans="1:13" x14ac:dyDescent="0.25">
      <c r="A20" s="4"/>
      <c r="B20" s="5"/>
    </row>
    <row r="21" spans="1:13" x14ac:dyDescent="0.25">
      <c r="A21" s="6"/>
      <c r="B21" s="8"/>
    </row>
  </sheetData>
  <dataValidations count="1">
    <dataValidation type="list" allowBlank="1" showInputMessage="1" showErrorMessage="1" sqref="E2" xr:uid="{C5531AEE-91C5-4BB0-82DD-F950BD82665C}">
      <formula1>"1,2,3,4"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Grade">
                <anchor moveWithCells="1" sizeWithCells="1">
                  <from>
                    <xdr:col>3</xdr:col>
                    <xdr:colOff>123825</xdr:colOff>
                    <xdr:row>10</xdr:row>
                    <xdr:rowOff>95250</xdr:rowOff>
                  </from>
                  <to>
                    <xdr:col>4</xdr:col>
                    <xdr:colOff>581025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Reset">
                <anchor moveWithCells="1" sizeWithCells="1">
                  <from>
                    <xdr:col>3</xdr:col>
                    <xdr:colOff>152400</xdr:colOff>
                    <xdr:row>14</xdr:row>
                    <xdr:rowOff>171450</xdr:rowOff>
                  </from>
                  <to>
                    <xdr:col>4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25ECA-FDC3-4BAB-8721-CE660D8E6435}">
  <sheetPr codeName="Sheet2"/>
  <dimension ref="A2:T43"/>
  <sheetViews>
    <sheetView workbookViewId="0">
      <selection activeCell="M10" sqref="M10"/>
    </sheetView>
  </sheetViews>
  <sheetFormatPr defaultRowHeight="15" x14ac:dyDescent="0.25"/>
  <sheetData>
    <row r="2" spans="1:13" x14ac:dyDescent="0.25">
      <c r="A2" t="s">
        <v>3</v>
      </c>
      <c r="B2">
        <v>1</v>
      </c>
      <c r="C2">
        <v>2</v>
      </c>
      <c r="D2">
        <v>3</v>
      </c>
      <c r="E2">
        <v>4</v>
      </c>
      <c r="G2" t="s">
        <v>1</v>
      </c>
      <c r="H2" t="s">
        <v>17</v>
      </c>
      <c r="I2" t="s">
        <v>18</v>
      </c>
      <c r="J2" t="s">
        <v>20</v>
      </c>
    </row>
    <row r="3" spans="1:13" x14ac:dyDescent="0.25">
      <c r="A3" s="1" cm="1">
        <f t="array" aca="1" ref="A3:A11" ca="1">_xlfn.SEQUENCE(COUNTA(xdata),,1,0)</f>
        <v>1</v>
      </c>
      <c r="B3" s="2" cm="1">
        <f t="array" aca="1" ref="B3:B11" ca="1">xdata</f>
        <v>1</v>
      </c>
      <c r="C3" s="2" cm="1">
        <f t="array" aca="1" ref="C3:C11" ca="1">xdata^C$2</f>
        <v>1</v>
      </c>
      <c r="D3" s="2" cm="1">
        <f t="array" aca="1" ref="D3:D11" ca="1">xdata^D$2</f>
        <v>1</v>
      </c>
      <c r="E3" s="2" cm="1">
        <f t="array" aca="1" ref="E3:E11" ca="1">xdata^E$2</f>
        <v>1</v>
      </c>
      <c r="G3" s="9" cm="1">
        <f t="array" aca="1" ref="G3:G11" ca="1">ydata</f>
        <v>5</v>
      </c>
      <c r="H3" s="9" cm="1">
        <f t="array" aca="1" ref="H3:H11" ca="1">ypred</f>
        <v>3.8444444444444485</v>
      </c>
      <c r="I3" s="9" cm="1">
        <f t="array" aca="1" ref="I3:I11" ca="1">res</f>
        <v>1.1555555555555515</v>
      </c>
      <c r="J3" s="9" cm="1">
        <f t="array" aca="1" ref="J3:J11" ca="1">ydata-ybar</f>
        <v>-18.777777777777779</v>
      </c>
      <c r="L3" t="s">
        <v>21</v>
      </c>
      <c r="M3" cm="1">
        <f t="array" aca="1" ref="M3" ca="1">SSE</f>
        <v>71.538888888888891</v>
      </c>
    </row>
    <row r="4" spans="1:13" x14ac:dyDescent="0.25">
      <c r="A4" s="4">
        <f ca="1"/>
        <v>1</v>
      </c>
      <c r="B4">
        <f ca="1"/>
        <v>2</v>
      </c>
      <c r="C4">
        <f ca="1"/>
        <v>4</v>
      </c>
      <c r="D4">
        <f ca="1"/>
        <v>8</v>
      </c>
      <c r="E4" s="5">
        <f ca="1"/>
        <v>16</v>
      </c>
      <c r="G4" s="10">
        <f ca="1"/>
        <v>6</v>
      </c>
      <c r="H4" s="10">
        <f ca="1"/>
        <v>8.8277777777777828</v>
      </c>
      <c r="I4" s="10">
        <f ca="1"/>
        <v>-2.8277777777777828</v>
      </c>
      <c r="J4" s="10">
        <f ca="1"/>
        <v>-17.777777777777779</v>
      </c>
    </row>
    <row r="5" spans="1:13" x14ac:dyDescent="0.25">
      <c r="A5" s="4">
        <f ca="1"/>
        <v>1</v>
      </c>
      <c r="B5">
        <f ca="1"/>
        <v>3</v>
      </c>
      <c r="C5">
        <f ca="1"/>
        <v>9</v>
      </c>
      <c r="D5">
        <f ca="1"/>
        <v>27</v>
      </c>
      <c r="E5" s="5">
        <f ca="1"/>
        <v>81</v>
      </c>
      <c r="G5" s="10">
        <f ca="1"/>
        <v>10</v>
      </c>
      <c r="H5" s="10">
        <f ca="1"/>
        <v>13.811111111111117</v>
      </c>
      <c r="I5" s="10">
        <f ca="1"/>
        <v>-3.8111111111111171</v>
      </c>
      <c r="J5" s="10">
        <f ca="1"/>
        <v>-13.777777777777779</v>
      </c>
      <c r="L5" t="s">
        <v>19</v>
      </c>
      <c r="M5" cm="1">
        <f t="array" aca="1" ref="M5" ca="1">ybar</f>
        <v>23.777777777777779</v>
      </c>
    </row>
    <row r="6" spans="1:13" x14ac:dyDescent="0.25">
      <c r="A6" s="4">
        <f ca="1"/>
        <v>1</v>
      </c>
      <c r="B6">
        <f ca="1"/>
        <v>4</v>
      </c>
      <c r="C6">
        <f ca="1"/>
        <v>16</v>
      </c>
      <c r="D6">
        <f ca="1"/>
        <v>64</v>
      </c>
      <c r="E6" s="5">
        <f ca="1"/>
        <v>256</v>
      </c>
      <c r="G6" s="10">
        <f ca="1"/>
        <v>20</v>
      </c>
      <c r="H6" s="10">
        <f ca="1"/>
        <v>18.794444444444451</v>
      </c>
      <c r="I6" s="10">
        <f ca="1"/>
        <v>1.2055555555555486</v>
      </c>
      <c r="J6" s="10">
        <f ca="1"/>
        <v>-3.7777777777777786</v>
      </c>
      <c r="L6" t="s">
        <v>24</v>
      </c>
      <c r="M6">
        <f ca="1">SUMSQ(_xlfn.ANCHORARRAY(J3))</f>
        <v>1561.5555555555554</v>
      </c>
    </row>
    <row r="7" spans="1:13" x14ac:dyDescent="0.25">
      <c r="A7" s="4">
        <f ca="1"/>
        <v>1</v>
      </c>
      <c r="B7">
        <f ca="1"/>
        <v>5</v>
      </c>
      <c r="C7">
        <f ca="1"/>
        <v>25</v>
      </c>
      <c r="D7">
        <f ca="1"/>
        <v>125</v>
      </c>
      <c r="E7" s="5">
        <f ca="1"/>
        <v>625</v>
      </c>
      <c r="G7" s="10">
        <f ca="1"/>
        <v>28</v>
      </c>
      <c r="H7" s="10">
        <f ca="1"/>
        <v>23.777777777777786</v>
      </c>
      <c r="I7" s="10">
        <f ca="1"/>
        <v>4.2222222222222143</v>
      </c>
      <c r="J7" s="10">
        <f ca="1"/>
        <v>4.2222222222222214</v>
      </c>
    </row>
    <row r="8" spans="1:13" x14ac:dyDescent="0.25">
      <c r="A8" s="4">
        <f ca="1"/>
        <v>1</v>
      </c>
      <c r="B8">
        <f ca="1"/>
        <v>6</v>
      </c>
      <c r="C8">
        <f ca="1"/>
        <v>36</v>
      </c>
      <c r="D8">
        <f ca="1"/>
        <v>216</v>
      </c>
      <c r="E8" s="5">
        <f ca="1"/>
        <v>1296</v>
      </c>
      <c r="G8" s="10">
        <f ca="1"/>
        <v>33</v>
      </c>
      <c r="H8" s="10">
        <f ca="1"/>
        <v>28.76111111111112</v>
      </c>
      <c r="I8" s="10">
        <f ca="1"/>
        <v>4.23888888888888</v>
      </c>
      <c r="J8" s="10">
        <f ca="1"/>
        <v>9.2222222222222214</v>
      </c>
      <c r="L8" t="s">
        <v>22</v>
      </c>
      <c r="M8" cm="1">
        <f t="array" aca="1" ref="M8" ca="1">n</f>
        <v>9</v>
      </c>
    </row>
    <row r="9" spans="1:13" x14ac:dyDescent="0.25">
      <c r="A9" s="4">
        <f ca="1"/>
        <v>1</v>
      </c>
      <c r="B9">
        <f ca="1"/>
        <v>7</v>
      </c>
      <c r="C9">
        <f ca="1"/>
        <v>49</v>
      </c>
      <c r="D9">
        <f ca="1"/>
        <v>343</v>
      </c>
      <c r="E9" s="5">
        <f ca="1"/>
        <v>2401</v>
      </c>
      <c r="G9" s="10">
        <f ca="1"/>
        <v>34</v>
      </c>
      <c r="H9" s="10">
        <f ca="1"/>
        <v>33.744444444444454</v>
      </c>
      <c r="I9" s="10">
        <f ca="1"/>
        <v>0.25555555555554577</v>
      </c>
      <c r="J9" s="10">
        <f ca="1"/>
        <v>10.222222222222221</v>
      </c>
      <c r="L9" t="s">
        <v>23</v>
      </c>
      <c r="M9" cm="1">
        <f t="array" aca="1" ref="M9" ca="1">p</f>
        <v>2</v>
      </c>
    </row>
    <row r="10" spans="1:13" x14ac:dyDescent="0.25">
      <c r="A10" s="4">
        <f ca="1"/>
        <v>1</v>
      </c>
      <c r="B10">
        <f ca="1"/>
        <v>8</v>
      </c>
      <c r="C10">
        <f ca="1"/>
        <v>64</v>
      </c>
      <c r="D10">
        <f ca="1"/>
        <v>512</v>
      </c>
      <c r="E10" s="5">
        <f ca="1"/>
        <v>4096</v>
      </c>
      <c r="G10" s="10">
        <f ca="1"/>
        <v>36</v>
      </c>
      <c r="H10" s="10">
        <f ca="1"/>
        <v>38.727777777777789</v>
      </c>
      <c r="I10" s="10">
        <f ca="1"/>
        <v>-2.7277777777777885</v>
      </c>
      <c r="J10" s="10">
        <f ca="1"/>
        <v>12.222222222222221</v>
      </c>
    </row>
    <row r="11" spans="1:13" x14ac:dyDescent="0.25">
      <c r="A11" s="4">
        <f ca="1"/>
        <v>1</v>
      </c>
      <c r="B11">
        <f ca="1"/>
        <v>9</v>
      </c>
      <c r="C11">
        <f ca="1"/>
        <v>81</v>
      </c>
      <c r="D11">
        <f ca="1"/>
        <v>729</v>
      </c>
      <c r="E11" s="5">
        <f ca="1"/>
        <v>6561</v>
      </c>
      <c r="G11" s="10">
        <f ca="1"/>
        <v>42</v>
      </c>
      <c r="H11" s="10">
        <f ca="1"/>
        <v>43.711111111111123</v>
      </c>
      <c r="I11" s="10">
        <f ca="1"/>
        <v>-1.7111111111111228</v>
      </c>
      <c r="J11" s="10">
        <f ca="1"/>
        <v>18.222222222222221</v>
      </c>
    </row>
    <row r="12" spans="1:13" x14ac:dyDescent="0.25">
      <c r="A12" s="4"/>
      <c r="E12" s="5"/>
      <c r="G12" s="10"/>
      <c r="H12" s="10"/>
      <c r="I12" s="10"/>
      <c r="J12" s="10"/>
    </row>
    <row r="13" spans="1:13" x14ac:dyDescent="0.25">
      <c r="A13" s="4"/>
      <c r="E13" s="5"/>
      <c r="G13" s="10"/>
      <c r="H13" s="10"/>
      <c r="I13" s="10"/>
      <c r="J13" s="10"/>
    </row>
    <row r="14" spans="1:13" x14ac:dyDescent="0.25">
      <c r="A14" s="4"/>
      <c r="E14" s="5"/>
      <c r="G14" s="10"/>
      <c r="H14" s="10"/>
      <c r="I14" s="10"/>
      <c r="J14" s="10"/>
    </row>
    <row r="15" spans="1:13" x14ac:dyDescent="0.25">
      <c r="A15" s="4"/>
      <c r="E15" s="5"/>
      <c r="G15" s="10"/>
      <c r="H15" s="10"/>
      <c r="I15" s="10"/>
      <c r="J15" s="10"/>
    </row>
    <row r="16" spans="1:13" x14ac:dyDescent="0.25">
      <c r="A16" s="4"/>
      <c r="E16" s="5"/>
      <c r="G16" s="10"/>
      <c r="H16" s="10"/>
      <c r="I16" s="10"/>
      <c r="J16" s="10"/>
    </row>
    <row r="17" spans="1:20" x14ac:dyDescent="0.25">
      <c r="A17" s="4"/>
      <c r="E17" s="5"/>
      <c r="G17" s="10"/>
      <c r="H17" s="10"/>
      <c r="I17" s="10"/>
      <c r="J17" s="10"/>
    </row>
    <row r="18" spans="1:20" x14ac:dyDescent="0.25">
      <c r="A18" s="4"/>
      <c r="E18" s="5"/>
      <c r="G18" s="10"/>
      <c r="H18" s="10"/>
      <c r="I18" s="10"/>
      <c r="J18" s="10"/>
    </row>
    <row r="19" spans="1:20" x14ac:dyDescent="0.25">
      <c r="A19" s="4"/>
      <c r="E19" s="5"/>
      <c r="G19" s="10"/>
      <c r="H19" s="10"/>
      <c r="I19" s="10"/>
      <c r="J19" s="10"/>
    </row>
    <row r="20" spans="1:20" x14ac:dyDescent="0.25">
      <c r="A20" s="4"/>
      <c r="E20" s="5"/>
      <c r="G20" s="10"/>
      <c r="H20" s="10"/>
      <c r="I20" s="10"/>
      <c r="J20" s="10"/>
    </row>
    <row r="21" spans="1:20" x14ac:dyDescent="0.25">
      <c r="A21" s="4"/>
      <c r="E21" s="5"/>
      <c r="G21" s="10"/>
      <c r="H21" s="10"/>
      <c r="I21" s="10"/>
      <c r="J21" s="10"/>
    </row>
    <row r="22" spans="1:20" x14ac:dyDescent="0.25">
      <c r="A22" s="6"/>
      <c r="B22" s="7"/>
      <c r="C22" s="7"/>
      <c r="D22" s="7"/>
      <c r="E22" s="8"/>
      <c r="G22" s="11"/>
      <c r="H22" s="11"/>
      <c r="I22" s="11"/>
      <c r="J22" s="11"/>
    </row>
    <row r="24" spans="1:20" x14ac:dyDescent="0.25">
      <c r="A24" t="s">
        <v>5</v>
      </c>
    </row>
    <row r="25" spans="1:20" x14ac:dyDescent="0.25">
      <c r="A25" s="1" cm="1">
        <f t="array" aca="1" ref="A25:I26" ca="1">TRANSPOSE(X)</f>
        <v>1</v>
      </c>
      <c r="B25" s="2">
        <f ca="1"/>
        <v>1</v>
      </c>
      <c r="C25" s="2">
        <f ca="1"/>
        <v>1</v>
      </c>
      <c r="D25" s="2">
        <f ca="1"/>
        <v>1</v>
      </c>
      <c r="E25" s="2">
        <f ca="1"/>
        <v>1</v>
      </c>
      <c r="F25" s="2">
        <f ca="1"/>
        <v>1</v>
      </c>
      <c r="G25" s="2">
        <f ca="1"/>
        <v>1</v>
      </c>
      <c r="H25" s="2">
        <f ca="1"/>
        <v>1</v>
      </c>
      <c r="I25" s="2">
        <f ca="1"/>
        <v>1</v>
      </c>
      <c r="J25" s="2"/>
      <c r="K25" s="2"/>
      <c r="L25" s="2"/>
      <c r="M25" s="2"/>
      <c r="N25" s="2"/>
      <c r="O25" s="2"/>
      <c r="P25" s="2"/>
      <c r="Q25" s="2"/>
      <c r="R25" s="2"/>
      <c r="S25" s="2"/>
      <c r="T25" s="3"/>
    </row>
    <row r="26" spans="1:20" x14ac:dyDescent="0.25">
      <c r="A26" s="4">
        <f ca="1"/>
        <v>1</v>
      </c>
      <c r="B26">
        <f ca="1"/>
        <v>2</v>
      </c>
      <c r="C26">
        <f ca="1"/>
        <v>3</v>
      </c>
      <c r="D26">
        <f ca="1"/>
        <v>4</v>
      </c>
      <c r="E26">
        <f ca="1"/>
        <v>5</v>
      </c>
      <c r="F26">
        <f ca="1"/>
        <v>6</v>
      </c>
      <c r="G26">
        <f ca="1"/>
        <v>7</v>
      </c>
      <c r="H26">
        <f ca="1"/>
        <v>8</v>
      </c>
      <c r="I26">
        <f ca="1"/>
        <v>9</v>
      </c>
      <c r="T26" s="5"/>
    </row>
    <row r="27" spans="1:20" x14ac:dyDescent="0.25">
      <c r="A27" s="4"/>
      <c r="T27" s="5"/>
    </row>
    <row r="28" spans="1:20" x14ac:dyDescent="0.25">
      <c r="A28" s="4"/>
      <c r="T28" s="5"/>
    </row>
    <row r="29" spans="1:20" x14ac:dyDescent="0.25">
      <c r="A29" s="6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8"/>
    </row>
    <row r="31" spans="1:20" x14ac:dyDescent="0.25">
      <c r="A31" t="s">
        <v>4</v>
      </c>
      <c r="G31" t="s">
        <v>7</v>
      </c>
    </row>
    <row r="32" spans="1:20" x14ac:dyDescent="0.25">
      <c r="A32" s="1" cm="1">
        <f t="array" aca="1" ref="A32:B33" ca="1">XtX</f>
        <v>9</v>
      </c>
      <c r="B32" s="2">
        <f ca="1"/>
        <v>45</v>
      </c>
      <c r="C32" s="2"/>
      <c r="D32" s="2"/>
      <c r="E32" s="3"/>
      <c r="G32" s="9" cm="1">
        <f t="array" aca="1" ref="G32:G33" ca="1">Xty</f>
        <v>214</v>
      </c>
    </row>
    <row r="33" spans="1:10" x14ac:dyDescent="0.25">
      <c r="A33" s="4">
        <f ca="1"/>
        <v>45</v>
      </c>
      <c r="B33">
        <f ca="1"/>
        <v>285</v>
      </c>
      <c r="E33" s="5"/>
      <c r="G33" s="10">
        <f ca="1"/>
        <v>1369</v>
      </c>
    </row>
    <row r="34" spans="1:10" x14ac:dyDescent="0.25">
      <c r="A34" s="4"/>
      <c r="E34" s="5"/>
      <c r="G34" s="10"/>
    </row>
    <row r="35" spans="1:10" x14ac:dyDescent="0.25">
      <c r="A35" s="4"/>
      <c r="E35" s="5"/>
      <c r="G35" s="10"/>
    </row>
    <row r="36" spans="1:10" x14ac:dyDescent="0.25">
      <c r="A36" s="6"/>
      <c r="B36" s="7"/>
      <c r="C36" s="7"/>
      <c r="D36" s="7"/>
      <c r="E36" s="8"/>
      <c r="G36" s="11"/>
    </row>
    <row r="38" spans="1:10" x14ac:dyDescent="0.25">
      <c r="A38" t="s">
        <v>6</v>
      </c>
      <c r="G38" t="s">
        <v>8</v>
      </c>
    </row>
    <row r="39" spans="1:10" x14ac:dyDescent="0.25">
      <c r="A39" s="1" cm="1">
        <f t="array" aca="1" ref="A39:B40" ca="1">XtXinv</f>
        <v>0.52777777777777779</v>
      </c>
      <c r="B39" s="2">
        <f ca="1"/>
        <v>-8.3333333333333329E-2</v>
      </c>
      <c r="C39" s="2"/>
      <c r="D39" s="2"/>
      <c r="E39" s="3"/>
      <c r="G39" s="9" cm="1">
        <f t="array" aca="1" ref="G39:G40" ca="1">Beta</f>
        <v>-1.1388888888888857</v>
      </c>
      <c r="H39" cm="1">
        <f t="array" aca="1" ref="H39:H43" ca="1">IF(G39:G43="","N/A",Beta)</f>
        <v>-1.1388888888888857</v>
      </c>
      <c r="J39" t="str" cm="1">
        <f t="array" aca="1" ref="J39:J40" ca="1">IF(_xlfn.ANCHORARRAY(G39)=NOT(ISBLANK(_xlfn.ANCHORARRAY(G39))),,"N/A")</f>
        <v>N/A</v>
      </c>
    </row>
    <row r="40" spans="1:10" x14ac:dyDescent="0.25">
      <c r="A40" s="4">
        <f ca="1"/>
        <v>-8.3333333333333329E-2</v>
      </c>
      <c r="B40">
        <f ca="1"/>
        <v>1.6666666666666666E-2</v>
      </c>
      <c r="E40" s="5"/>
      <c r="G40" s="10">
        <f ca="1"/>
        <v>4.9833333333333343</v>
      </c>
      <c r="H40">
        <f ca="1"/>
        <v>4.9833333333333343</v>
      </c>
      <c r="J40" t="str">
        <f ca="1"/>
        <v>N/A</v>
      </c>
    </row>
    <row r="41" spans="1:10" x14ac:dyDescent="0.25">
      <c r="A41" s="4"/>
      <c r="E41" s="5"/>
      <c r="G41" s="10"/>
      <c r="H41" t="str">
        <f ca="1"/>
        <v>N/A</v>
      </c>
    </row>
    <row r="42" spans="1:10" x14ac:dyDescent="0.25">
      <c r="A42" s="4"/>
      <c r="E42" s="5"/>
      <c r="G42" s="10"/>
      <c r="H42" t="str">
        <f ca="1"/>
        <v>N/A</v>
      </c>
    </row>
    <row r="43" spans="1:10" x14ac:dyDescent="0.25">
      <c r="A43" s="6"/>
      <c r="B43" s="7"/>
      <c r="C43" s="7"/>
      <c r="D43" s="7"/>
      <c r="E43" s="8"/>
      <c r="G43" s="11"/>
      <c r="H43" t="str">
        <f ca="1"/>
        <v>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985B7-030B-4E48-8EBB-1009D186E8D8}">
  <sheetPr codeName="Sheet4"/>
  <dimension ref="A1:B21"/>
  <sheetViews>
    <sheetView workbookViewId="0">
      <selection activeCell="A2" sqref="A2:B21"/>
    </sheetView>
  </sheetViews>
  <sheetFormatPr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 s="1">
        <v>1</v>
      </c>
      <c r="B2" s="3">
        <v>5</v>
      </c>
    </row>
    <row r="3" spans="1:2" x14ac:dyDescent="0.25">
      <c r="A3" s="4">
        <v>2</v>
      </c>
      <c r="B3" s="5">
        <v>6</v>
      </c>
    </row>
    <row r="4" spans="1:2" x14ac:dyDescent="0.25">
      <c r="A4" s="4">
        <v>3</v>
      </c>
      <c r="B4" s="5">
        <v>10</v>
      </c>
    </row>
    <row r="5" spans="1:2" x14ac:dyDescent="0.25">
      <c r="A5" s="4">
        <v>4</v>
      </c>
      <c r="B5" s="5">
        <v>20</v>
      </c>
    </row>
    <row r="6" spans="1:2" x14ac:dyDescent="0.25">
      <c r="A6" s="4">
        <v>5</v>
      </c>
      <c r="B6" s="5">
        <v>28</v>
      </c>
    </row>
    <row r="7" spans="1:2" x14ac:dyDescent="0.25">
      <c r="A7" s="4">
        <v>6</v>
      </c>
      <c r="B7" s="5">
        <v>33</v>
      </c>
    </row>
    <row r="8" spans="1:2" x14ac:dyDescent="0.25">
      <c r="A8" s="4">
        <v>7</v>
      </c>
      <c r="B8" s="5">
        <v>34</v>
      </c>
    </row>
    <row r="9" spans="1:2" x14ac:dyDescent="0.25">
      <c r="A9" s="4">
        <v>8</v>
      </c>
      <c r="B9" s="5">
        <v>36</v>
      </c>
    </row>
    <row r="10" spans="1:2" x14ac:dyDescent="0.25">
      <c r="A10" s="4">
        <v>9</v>
      </c>
      <c r="B10" s="5">
        <v>42</v>
      </c>
    </row>
    <row r="11" spans="1:2" x14ac:dyDescent="0.25">
      <c r="A11" s="4"/>
      <c r="B11" s="5"/>
    </row>
    <row r="12" spans="1:2" x14ac:dyDescent="0.25">
      <c r="A12" s="4"/>
      <c r="B12" s="5"/>
    </row>
    <row r="13" spans="1:2" x14ac:dyDescent="0.25">
      <c r="A13" s="4"/>
      <c r="B13" s="5"/>
    </row>
    <row r="14" spans="1:2" x14ac:dyDescent="0.25">
      <c r="A14" s="4"/>
      <c r="B14" s="5"/>
    </row>
    <row r="15" spans="1:2" x14ac:dyDescent="0.25">
      <c r="A15" s="4"/>
      <c r="B15" s="5"/>
    </row>
    <row r="16" spans="1:2" x14ac:dyDescent="0.25">
      <c r="A16" s="4"/>
      <c r="B16" s="5"/>
    </row>
    <row r="17" spans="1:2" x14ac:dyDescent="0.25">
      <c r="A17" s="4"/>
      <c r="B17" s="5"/>
    </row>
    <row r="18" spans="1:2" x14ac:dyDescent="0.25">
      <c r="A18" s="4"/>
      <c r="B18" s="5"/>
    </row>
    <row r="19" spans="1:2" x14ac:dyDescent="0.25">
      <c r="A19" s="4"/>
      <c r="B19" s="5"/>
    </row>
    <row r="20" spans="1:2" x14ac:dyDescent="0.25">
      <c r="A20" s="4"/>
      <c r="B20" s="5"/>
    </row>
    <row r="21" spans="1:2" x14ac:dyDescent="0.25">
      <c r="A21" s="6"/>
      <c r="B21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Dashboard</vt:lpstr>
      <vt:lpstr>Calculations</vt:lpstr>
      <vt:lpstr>Original Data</vt:lpstr>
      <vt:lpstr>SST_1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Ashik Uz Zaman</cp:lastModifiedBy>
  <dcterms:created xsi:type="dcterms:W3CDTF">2021-01-15T21:37:37Z</dcterms:created>
  <dcterms:modified xsi:type="dcterms:W3CDTF">2023-09-01T16:59:12Z</dcterms:modified>
</cp:coreProperties>
</file>