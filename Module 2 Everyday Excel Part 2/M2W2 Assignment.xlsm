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6D574E53-BC10-4F22-BF86-5402B5DF60C0}" xr6:coauthVersionLast="46" xr6:coauthVersionMax="46" xr10:uidLastSave="{00000000-0000-0000-0000-000000000000}"/>
  <bookViews>
    <workbookView xWindow="1275" yWindow="2055" windowWidth="26655" windowHeight="17760" xr2:uid="{C7D6003C-BAC1-4D95-AAF4-002801C236E9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8" i="1" l="1"/>
  <c r="E10" i="1"/>
  <c r="F10" i="1" s="1"/>
  <c r="B11" i="1" l="1"/>
  <c r="E11" i="1" s="1"/>
  <c r="F11" i="1" l="1"/>
  <c r="B12" i="1"/>
  <c r="E12" i="1" s="1"/>
  <c r="B13" i="1" l="1"/>
  <c r="E13" i="1" s="1"/>
  <c r="F12" i="1"/>
  <c r="B14" i="1" l="1"/>
  <c r="E14" i="1" s="1"/>
  <c r="F13" i="1"/>
  <c r="B15" i="1" l="1"/>
  <c r="E15" i="1" s="1"/>
  <c r="F14" i="1"/>
  <c r="B16" i="1" l="1"/>
  <c r="E16" i="1" s="1"/>
  <c r="F15" i="1"/>
  <c r="B17" i="1" l="1"/>
  <c r="E17" i="1" s="1"/>
  <c r="F16" i="1"/>
  <c r="B18" i="1" l="1"/>
  <c r="E18" i="1" s="1"/>
  <c r="F17" i="1"/>
  <c r="B19" i="1" l="1"/>
  <c r="E19" i="1" s="1"/>
  <c r="F18" i="1"/>
  <c r="B20" i="1" l="1"/>
  <c r="E20" i="1" s="1"/>
  <c r="F19" i="1"/>
  <c r="B21" i="1" l="1"/>
  <c r="E21" i="1" s="1"/>
  <c r="F20" i="1"/>
  <c r="B22" i="1" l="1"/>
  <c r="E22" i="1" s="1"/>
  <c r="F21" i="1"/>
  <c r="B23" i="1" l="1"/>
  <c r="E23" i="1" s="1"/>
  <c r="F22" i="1"/>
  <c r="B24" i="1" l="1"/>
  <c r="E24" i="1" s="1"/>
  <c r="F23" i="1"/>
  <c r="B25" i="1" l="1"/>
  <c r="E25" i="1" s="1"/>
  <c r="F24" i="1"/>
  <c r="B26" i="1" l="1"/>
  <c r="E26" i="1" s="1"/>
  <c r="F25" i="1"/>
  <c r="B27" i="1" l="1"/>
  <c r="E27" i="1" s="1"/>
  <c r="F26" i="1"/>
  <c r="B28" i="1" l="1"/>
  <c r="E28" i="1" s="1"/>
  <c r="F27" i="1"/>
  <c r="B29" i="1" l="1"/>
  <c r="E29" i="1" s="1"/>
  <c r="F28" i="1"/>
  <c r="B30" i="1" l="1"/>
  <c r="E30" i="1" s="1"/>
  <c r="F29" i="1"/>
  <c r="B31" i="1" l="1"/>
  <c r="E31" i="1" s="1"/>
  <c r="F30" i="1"/>
  <c r="B32" i="1" l="1"/>
  <c r="E32" i="1" s="1"/>
  <c r="F31" i="1"/>
  <c r="B33" i="1" l="1"/>
  <c r="E33" i="1" s="1"/>
  <c r="F32" i="1"/>
  <c r="B34" i="1" l="1"/>
  <c r="E34" i="1" s="1"/>
  <c r="F33" i="1"/>
  <c r="B35" i="1" l="1"/>
  <c r="E35" i="1" s="1"/>
  <c r="F34" i="1"/>
  <c r="B36" i="1" l="1"/>
  <c r="E36" i="1" s="1"/>
  <c r="F35" i="1"/>
  <c r="B37" i="1" l="1"/>
  <c r="E37" i="1" s="1"/>
  <c r="F36" i="1"/>
  <c r="B38" i="1" l="1"/>
  <c r="E38" i="1" s="1"/>
  <c r="F37" i="1"/>
  <c r="B39" i="1" l="1"/>
  <c r="E39" i="1" s="1"/>
  <c r="F38" i="1"/>
  <c r="B40" i="1" l="1"/>
  <c r="E40" i="1" s="1"/>
  <c r="F39" i="1"/>
  <c r="B41" i="1" l="1"/>
  <c r="E41" i="1" s="1"/>
  <c r="F40" i="1"/>
  <c r="G40" i="1" l="1"/>
  <c r="G3" i="1"/>
  <c r="B42" i="1"/>
  <c r="E42" i="1" s="1"/>
  <c r="F41" i="1"/>
  <c r="B43" i="1" l="1"/>
  <c r="E43" i="1" s="1"/>
  <c r="F42" i="1"/>
  <c r="B44" i="1" l="1"/>
  <c r="E44" i="1" s="1"/>
  <c r="F43" i="1"/>
  <c r="B45" i="1" l="1"/>
  <c r="E45" i="1" s="1"/>
  <c r="F44" i="1"/>
  <c r="B46" i="1" l="1"/>
  <c r="E46" i="1" s="1"/>
  <c r="F45" i="1"/>
  <c r="B47" i="1" l="1"/>
  <c r="E47" i="1" s="1"/>
  <c r="F46" i="1"/>
  <c r="B48" i="1" l="1"/>
  <c r="E48" i="1" s="1"/>
  <c r="F47" i="1"/>
  <c r="B49" i="1" l="1"/>
  <c r="E49" i="1" s="1"/>
  <c r="F48" i="1"/>
  <c r="B50" i="1" l="1"/>
  <c r="E50" i="1" s="1"/>
  <c r="F49" i="1"/>
  <c r="B51" i="1" l="1"/>
  <c r="E51" i="1" s="1"/>
  <c r="F50" i="1"/>
  <c r="B52" i="1" l="1"/>
  <c r="E52" i="1" s="1"/>
  <c r="F51" i="1"/>
  <c r="B53" i="1" l="1"/>
  <c r="E53" i="1" s="1"/>
  <c r="F52" i="1"/>
  <c r="B54" i="1" l="1"/>
  <c r="E54" i="1" s="1"/>
  <c r="F53" i="1"/>
  <c r="B55" i="1" l="1"/>
  <c r="E55" i="1" s="1"/>
  <c r="F54" i="1"/>
  <c r="B56" i="1" l="1"/>
  <c r="E56" i="1" s="1"/>
  <c r="F55" i="1"/>
  <c r="B57" i="1" l="1"/>
  <c r="E57" i="1" s="1"/>
  <c r="F56" i="1"/>
  <c r="B58" i="1" l="1"/>
  <c r="E58" i="1" s="1"/>
  <c r="F57" i="1"/>
  <c r="B59" i="1" l="1"/>
  <c r="E59" i="1" s="1"/>
  <c r="F58" i="1"/>
  <c r="B60" i="1" l="1"/>
  <c r="E60" i="1" s="1"/>
  <c r="F59" i="1"/>
  <c r="B61" i="1" l="1"/>
  <c r="E61" i="1" s="1"/>
  <c r="F60" i="1"/>
  <c r="B62" i="1" l="1"/>
  <c r="E62" i="1" s="1"/>
  <c r="F61" i="1"/>
  <c r="B63" i="1" l="1"/>
  <c r="E63" i="1" s="1"/>
  <c r="F62" i="1"/>
  <c r="B64" i="1" l="1"/>
  <c r="E64" i="1" s="1"/>
  <c r="F63" i="1"/>
  <c r="B65" i="1" l="1"/>
  <c r="E65" i="1" s="1"/>
  <c r="F64" i="1"/>
  <c r="B66" i="1" l="1"/>
  <c r="E66" i="1" s="1"/>
  <c r="F65" i="1"/>
  <c r="B67" i="1" l="1"/>
  <c r="E67" i="1" s="1"/>
  <c r="F66" i="1"/>
  <c r="B68" i="1" l="1"/>
  <c r="E68" i="1" s="1"/>
  <c r="F67" i="1"/>
  <c r="B69" i="1" l="1"/>
  <c r="E69" i="1" s="1"/>
  <c r="F68" i="1"/>
  <c r="B70" i="1" l="1"/>
  <c r="E70" i="1" s="1"/>
  <c r="B80" i="1" s="1"/>
  <c r="C80" i="1" s="1"/>
  <c r="F69" i="1"/>
  <c r="F70" i="1" l="1"/>
  <c r="C77" i="1"/>
  <c r="G4" i="1"/>
  <c r="G70" i="1"/>
  <c r="D80" i="1" l="1"/>
  <c r="E80" i="1" s="1"/>
  <c r="B81" i="1" s="1"/>
  <c r="C81" i="1" s="1"/>
  <c r="D81" i="1" s="1"/>
  <c r="E81" i="1" s="1"/>
  <c r="B82" i="1" s="1"/>
  <c r="C82" i="1" l="1"/>
  <c r="D82" i="1" s="1"/>
  <c r="E82" i="1"/>
  <c r="B83" i="1" s="1"/>
  <c r="C83" i="1" l="1"/>
  <c r="D83" i="1" s="1"/>
  <c r="E83" i="1"/>
  <c r="B84" i="1" s="1"/>
  <c r="C84" i="1" l="1"/>
  <c r="D84" i="1" s="1"/>
  <c r="E84" i="1"/>
  <c r="B85" i="1" s="1"/>
  <c r="C85" i="1" l="1"/>
  <c r="D85" i="1" s="1"/>
  <c r="E85" i="1"/>
  <c r="B86" i="1" s="1"/>
  <c r="C86" i="1" l="1"/>
  <c r="D86" i="1" s="1"/>
  <c r="E86" i="1"/>
  <c r="B87" i="1" s="1"/>
  <c r="C87" i="1" l="1"/>
  <c r="D87" i="1" s="1"/>
  <c r="E87" i="1" s="1"/>
  <c r="B88" i="1" s="1"/>
  <c r="C88" i="1" l="1"/>
  <c r="D88" i="1" s="1"/>
  <c r="E88" i="1"/>
  <c r="B89" i="1" s="1"/>
  <c r="C89" i="1" l="1"/>
  <c r="D89" i="1" s="1"/>
  <c r="E89" i="1"/>
  <c r="B90" i="1" s="1"/>
  <c r="C90" i="1" l="1"/>
  <c r="D90" i="1" s="1"/>
  <c r="E90" i="1"/>
  <c r="B91" i="1" s="1"/>
  <c r="C91" i="1" l="1"/>
  <c r="D91" i="1" s="1"/>
  <c r="E91" i="1"/>
  <c r="B92" i="1" s="1"/>
  <c r="C92" i="1" l="1"/>
  <c r="D92" i="1" s="1"/>
  <c r="E92" i="1"/>
  <c r="B93" i="1" s="1"/>
  <c r="C93" i="1" l="1"/>
  <c r="D93" i="1" s="1"/>
  <c r="E93" i="1"/>
  <c r="B94" i="1" s="1"/>
  <c r="C94" i="1" l="1"/>
  <c r="D94" i="1" s="1"/>
  <c r="E94" i="1"/>
  <c r="B95" i="1" s="1"/>
  <c r="C95" i="1" l="1"/>
  <c r="D95" i="1" s="1"/>
  <c r="E95" i="1"/>
  <c r="B96" i="1" s="1"/>
  <c r="C96" i="1" l="1"/>
  <c r="D96" i="1" s="1"/>
  <c r="E96" i="1"/>
  <c r="B97" i="1" s="1"/>
  <c r="C97" i="1" l="1"/>
  <c r="D97" i="1" s="1"/>
  <c r="E97" i="1"/>
  <c r="B98" i="1" s="1"/>
  <c r="C98" i="1" l="1"/>
  <c r="D98" i="1" s="1"/>
  <c r="E98" i="1"/>
  <c r="B99" i="1" s="1"/>
  <c r="C99" i="1" l="1"/>
  <c r="D99" i="1" s="1"/>
  <c r="E99" i="1"/>
  <c r="B100" i="1" s="1"/>
  <c r="C100" i="1" l="1"/>
  <c r="D100" i="1" s="1"/>
  <c r="E100" i="1"/>
  <c r="B101" i="1" s="1"/>
  <c r="C101" i="1" l="1"/>
  <c r="D101" i="1" s="1"/>
  <c r="E101" i="1"/>
  <c r="B102" i="1" s="1"/>
  <c r="C102" i="1" l="1"/>
  <c r="D102" i="1" s="1"/>
  <c r="E102" i="1"/>
  <c r="B103" i="1" s="1"/>
  <c r="C103" i="1" l="1"/>
  <c r="D103" i="1" s="1"/>
  <c r="E103" i="1"/>
  <c r="B104" i="1" s="1"/>
  <c r="C104" i="1" l="1"/>
  <c r="D104" i="1" s="1"/>
  <c r="E104" i="1"/>
  <c r="B105" i="1" s="1"/>
  <c r="C105" i="1" l="1"/>
  <c r="D105" i="1" s="1"/>
  <c r="E105" i="1"/>
  <c r="B106" i="1" s="1"/>
  <c r="C106" i="1" l="1"/>
  <c r="D106" i="1" s="1"/>
  <c r="E106" i="1"/>
  <c r="B107" i="1" s="1"/>
  <c r="C107" i="1" l="1"/>
  <c r="D107" i="1" s="1"/>
  <c r="E107" i="1"/>
  <c r="B108" i="1" s="1"/>
  <c r="C108" i="1" l="1"/>
  <c r="D108" i="1" s="1"/>
  <c r="E108" i="1"/>
  <c r="B109" i="1" s="1"/>
  <c r="C109" i="1" l="1"/>
  <c r="D109" i="1" s="1"/>
  <c r="E109" i="1"/>
  <c r="B110" i="1" s="1"/>
  <c r="C110" i="1" l="1"/>
  <c r="D110" i="1" s="1"/>
  <c r="E110" i="1"/>
  <c r="B111" i="1" s="1"/>
  <c r="C111" i="1" l="1"/>
  <c r="D111" i="1" s="1"/>
  <c r="E111" i="1"/>
  <c r="B112" i="1" s="1"/>
  <c r="C112" i="1" l="1"/>
  <c r="D112" i="1" s="1"/>
  <c r="E112" i="1"/>
  <c r="B113" i="1" s="1"/>
  <c r="C113" i="1" l="1"/>
  <c r="D113" i="1" s="1"/>
  <c r="E113" i="1"/>
  <c r="B114" i="1" s="1"/>
  <c r="C114" i="1" l="1"/>
  <c r="D114" i="1" s="1"/>
  <c r="E114" i="1"/>
  <c r="B115" i="1" s="1"/>
  <c r="C115" i="1" l="1"/>
  <c r="D115" i="1" s="1"/>
  <c r="E115" i="1"/>
  <c r="B116" i="1" s="1"/>
  <c r="C116" i="1" l="1"/>
  <c r="D116" i="1" s="1"/>
  <c r="E116" i="1"/>
  <c r="B117" i="1" s="1"/>
  <c r="C117" i="1" l="1"/>
  <c r="D117" i="1" s="1"/>
  <c r="E117" i="1"/>
  <c r="B118" i="1" s="1"/>
  <c r="C118" i="1" l="1"/>
  <c r="D118" i="1" s="1"/>
  <c r="E118" i="1"/>
  <c r="B119" i="1" s="1"/>
  <c r="C119" i="1" l="1"/>
  <c r="D119" i="1" s="1"/>
  <c r="E119" i="1"/>
  <c r="B120" i="1" s="1"/>
  <c r="C120" i="1" l="1"/>
  <c r="D120" i="1" s="1"/>
  <c r="E120" i="1"/>
  <c r="B121" i="1" s="1"/>
  <c r="C121" i="1" l="1"/>
  <c r="D121" i="1" s="1"/>
  <c r="E121" i="1"/>
  <c r="B122" i="1" s="1"/>
  <c r="C122" i="1" l="1"/>
  <c r="D122" i="1" s="1"/>
  <c r="E122" i="1"/>
  <c r="B123" i="1" s="1"/>
  <c r="C123" i="1" l="1"/>
  <c r="D123" i="1" s="1"/>
  <c r="E123" i="1"/>
  <c r="B124" i="1" s="1"/>
  <c r="C124" i="1" l="1"/>
  <c r="D124" i="1" s="1"/>
  <c r="E124" i="1"/>
  <c r="B125" i="1" s="1"/>
  <c r="C125" i="1" l="1"/>
  <c r="D125" i="1" s="1"/>
  <c r="E125" i="1"/>
  <c r="B126" i="1" s="1"/>
  <c r="C126" i="1" l="1"/>
  <c r="D126" i="1" s="1"/>
  <c r="E126" i="1"/>
  <c r="B127" i="1" s="1"/>
  <c r="C127" i="1" l="1"/>
  <c r="D127" i="1" s="1"/>
  <c r="E127" i="1"/>
  <c r="B128" i="1" s="1"/>
  <c r="C128" i="1" l="1"/>
  <c r="D128" i="1" s="1"/>
  <c r="E128" i="1"/>
  <c r="B129" i="1" s="1"/>
  <c r="C129" i="1" l="1"/>
  <c r="D129" i="1" s="1"/>
  <c r="E129" i="1"/>
  <c r="B130" i="1" s="1"/>
  <c r="C130" i="1" l="1"/>
  <c r="D130" i="1" s="1"/>
  <c r="E130" i="1"/>
  <c r="B131" i="1" s="1"/>
  <c r="C131" i="1" l="1"/>
  <c r="D131" i="1" s="1"/>
  <c r="E131" i="1"/>
  <c r="B132" i="1" s="1"/>
  <c r="C132" i="1" l="1"/>
  <c r="D132" i="1" s="1"/>
  <c r="E132" i="1"/>
  <c r="B133" i="1" s="1"/>
  <c r="C133" i="1" l="1"/>
  <c r="D133" i="1" s="1"/>
  <c r="E133" i="1"/>
  <c r="B134" i="1" s="1"/>
  <c r="C134" i="1" l="1"/>
  <c r="D134" i="1" s="1"/>
  <c r="E134" i="1"/>
  <c r="B135" i="1" s="1"/>
  <c r="C135" i="1" l="1"/>
  <c r="D135" i="1" s="1"/>
  <c r="E135" i="1"/>
  <c r="B136" i="1" s="1"/>
  <c r="C136" i="1" l="1"/>
  <c r="D136" i="1" s="1"/>
  <c r="E136" i="1"/>
  <c r="B137" i="1" s="1"/>
  <c r="C137" i="1" s="1"/>
  <c r="D137" i="1" s="1"/>
  <c r="E137" i="1" s="1"/>
  <c r="B138" i="1" s="1"/>
  <c r="C138" i="1" s="1"/>
  <c r="D138" i="1" s="1"/>
  <c r="E138" i="1" s="1"/>
  <c r="B139" i="1" s="1"/>
  <c r="C139" i="1" l="1"/>
  <c r="D139" i="1" s="1"/>
  <c r="E139" i="1"/>
</calcChain>
</file>

<file path=xl/sharedStrings.xml><?xml version="1.0" encoding="utf-8"?>
<sst xmlns="http://schemas.openxmlformats.org/spreadsheetml/2006/main" count="24" uniqueCount="22">
  <si>
    <t>i</t>
  </si>
  <si>
    <t>Month</t>
  </si>
  <si>
    <t>Ending Balance</t>
  </si>
  <si>
    <t>Assignment 2</t>
  </si>
  <si>
    <t>Beg. Balance</t>
  </si>
  <si>
    <t>To Interest</t>
  </si>
  <si>
    <t>interest:</t>
  </si>
  <si>
    <t>payment:</t>
  </si>
  <si>
    <t>Repayment Period</t>
  </si>
  <si>
    <t>To Principal</t>
  </si>
  <si>
    <t>Date</t>
  </si>
  <si>
    <t>Charge (Loan Advance)</t>
  </si>
  <si>
    <t>Payment/ deposit</t>
  </si>
  <si>
    <t>Last Two Months of Draw Period</t>
  </si>
  <si>
    <t>interest rate (APR, fixed rate)</t>
  </si>
  <si>
    <t>Nov. 1 payment:</t>
  </si>
  <si>
    <t>Dec. 1 payment:</t>
  </si>
  <si>
    <t>&lt;-- Check - This cell should be 0!</t>
  </si>
  <si>
    <t>*Do NOT change the location of any cells on this worksheet!</t>
  </si>
  <si>
    <t>Financial Charge</t>
  </si>
  <si>
    <t>Total Period</t>
  </si>
  <si>
    <t>Compound Monthly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</si>
</sst>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17" fontId="0" fillId="0" borderId="0" xfId="0" applyNumberFormat="1"/>
    <xf numFmtId="44" fontId="0" fillId="0" borderId="0" xfId="1" applyFont="1"/>
    <xf numFmtId="0" fontId="2" fillId="0" borderId="0" xfId="0" applyFont="1" applyAlignment="1">
      <alignment horizontal="center" wrapText="1"/>
    </xf>
    <xf numFmtId="44" fontId="0" fillId="0" borderId="0" xfId="0" applyNumberFormat="1"/>
    <xf numFmtId="164" fontId="0" fillId="0" borderId="0" xfId="2" applyNumberFormat="1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14" fontId="0" fillId="0" borderId="0" xfId="0" applyNumberFormat="1"/>
    <xf numFmtId="44" fontId="0" fillId="2" borderId="1" xfId="0" applyNumberFormat="1" applyFill="1" applyBorder="1"/>
    <xf numFmtId="8" fontId="0" fillId="2" borderId="1" xfId="1" applyNumberFormat="1" applyFont="1" applyFill="1" applyBorder="1"/>
    <xf numFmtId="44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 wrapText="1"/>
    </xf>
    <xf numFmtId="0" fontId="0" fillId="0" borderId="0" xfId="0" quotePrefix="1"/>
    <xf numFmtId="44" fontId="0" fillId="0" borderId="0" xfId="1" applyFont="1" applyAlignment="1">
      <alignment horizontal="center" wrapText="1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11</xdr:row>
          <xdr:rowOff>66675</xdr:rowOff>
        </xdr:from>
        <xdr:to>
          <xdr:col>7</xdr:col>
          <xdr:colOff>447675</xdr:colOff>
          <xdr:row>13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597C-253B-458C-B61B-A19A00001724}">
  <sheetPr codeName="Sheet1"/>
  <dimension ref="A1:G140"/>
  <sheetViews>
    <sheetView tabSelected="1" zoomScale="150" zoomScaleNormal="150" workbookViewId="0">
      <selection activeCell="C80" sqref="C80"/>
    </sheetView>
  </sheetViews>
  <sheetFormatPr defaultRowHeight="15" x14ac:dyDescent="0.25"/>
  <cols>
    <col min="1" max="1" width="11.28515625" customWidth="1"/>
    <col min="2" max="2" width="12.140625" bestFit="1" customWidth="1"/>
    <col min="3" max="3" width="10.85546875" bestFit="1" customWidth="1"/>
    <col min="4" max="4" width="10.5703125" bestFit="1" customWidth="1"/>
    <col min="5" max="5" width="12.28515625" bestFit="1" customWidth="1"/>
    <col min="6" max="6" width="10.85546875" bestFit="1" customWidth="1"/>
  </cols>
  <sheetData>
    <row r="1" spans="1:7" x14ac:dyDescent="0.25">
      <c r="A1" s="1" t="s">
        <v>3</v>
      </c>
    </row>
    <row r="2" spans="1:7" ht="15.75" thickBot="1" x14ac:dyDescent="0.3">
      <c r="A2" s="1"/>
    </row>
    <row r="3" spans="1:7" ht="15.75" thickBot="1" x14ac:dyDescent="0.3">
      <c r="A3" s="1" t="s">
        <v>13</v>
      </c>
      <c r="F3" s="8" t="s">
        <v>15</v>
      </c>
      <c r="G3" s="10">
        <f>SUM(F10:F40)</f>
        <v>56.163013698630131</v>
      </c>
    </row>
    <row r="4" spans="1:7" ht="15.75" thickBot="1" x14ac:dyDescent="0.3">
      <c r="F4" s="8" t="s">
        <v>16</v>
      </c>
      <c r="G4" s="10">
        <f>SUM(F41:F70)</f>
        <v>47.849315068493127</v>
      </c>
    </row>
    <row r="5" spans="1:7" x14ac:dyDescent="0.25">
      <c r="A5" t="s">
        <v>0</v>
      </c>
      <c r="B5" s="6">
        <v>7.0000000000000007E-2</v>
      </c>
      <c r="C5" t="s">
        <v>14</v>
      </c>
    </row>
    <row r="6" spans="1:7" x14ac:dyDescent="0.25">
      <c r="B6" s="6"/>
    </row>
    <row r="7" spans="1:7" x14ac:dyDescent="0.25">
      <c r="A7" t="s">
        <v>18</v>
      </c>
    </row>
    <row r="9" spans="1:7" ht="45" x14ac:dyDescent="0.25">
      <c r="A9" s="1" t="s">
        <v>10</v>
      </c>
      <c r="B9" s="4" t="s">
        <v>4</v>
      </c>
      <c r="C9" s="4" t="s">
        <v>11</v>
      </c>
      <c r="D9" s="4" t="s">
        <v>12</v>
      </c>
      <c r="E9" s="4" t="s">
        <v>2</v>
      </c>
      <c r="F9" s="4" t="s">
        <v>19</v>
      </c>
    </row>
    <row r="10" spans="1:7" x14ac:dyDescent="0.25">
      <c r="A10" s="9">
        <v>44105</v>
      </c>
      <c r="B10" s="3">
        <v>10000</v>
      </c>
      <c r="C10" s="3">
        <v>0</v>
      </c>
      <c r="D10" s="3">
        <v>2500</v>
      </c>
      <c r="E10" s="5">
        <f>B10+C10-D10</f>
        <v>7500</v>
      </c>
      <c r="F10" s="5">
        <f>E10*0.07/365</f>
        <v>1.4383561643835616</v>
      </c>
    </row>
    <row r="11" spans="1:7" x14ac:dyDescent="0.25">
      <c r="A11" s="9">
        <v>44106</v>
      </c>
      <c r="B11" s="3">
        <f>E10</f>
        <v>7500</v>
      </c>
      <c r="C11" s="3">
        <v>0</v>
      </c>
      <c r="D11" s="3">
        <v>0</v>
      </c>
      <c r="E11" s="5">
        <f t="shared" ref="E11:E70" si="0">B11+C11-D11</f>
        <v>7500</v>
      </c>
      <c r="F11" s="5">
        <f t="shared" ref="F11:F70" si="1">E11*$B$5/365</f>
        <v>1.4383561643835616</v>
      </c>
    </row>
    <row r="12" spans="1:7" x14ac:dyDescent="0.25">
      <c r="A12" s="9">
        <v>44107</v>
      </c>
      <c r="B12" s="3">
        <f t="shared" ref="B12:B70" si="2">E11</f>
        <v>7500</v>
      </c>
      <c r="C12" s="3">
        <v>300</v>
      </c>
      <c r="D12" s="3">
        <v>0</v>
      </c>
      <c r="E12" s="5">
        <f t="shared" si="0"/>
        <v>7800</v>
      </c>
      <c r="F12" s="5">
        <f t="shared" si="1"/>
        <v>1.4958904109589042</v>
      </c>
    </row>
    <row r="13" spans="1:7" x14ac:dyDescent="0.25">
      <c r="A13" s="9">
        <v>44108</v>
      </c>
      <c r="B13" s="3">
        <f t="shared" si="2"/>
        <v>7800</v>
      </c>
      <c r="C13" s="3">
        <v>0</v>
      </c>
      <c r="D13" s="3">
        <v>0</v>
      </c>
      <c r="E13" s="5">
        <f t="shared" si="0"/>
        <v>7800</v>
      </c>
      <c r="F13" s="5">
        <f t="shared" si="1"/>
        <v>1.4958904109589042</v>
      </c>
    </row>
    <row r="14" spans="1:7" x14ac:dyDescent="0.25">
      <c r="A14" s="9">
        <v>44109</v>
      </c>
      <c r="B14" s="3">
        <f t="shared" si="2"/>
        <v>7800</v>
      </c>
      <c r="C14" s="3">
        <v>0</v>
      </c>
      <c r="D14" s="3">
        <v>0</v>
      </c>
      <c r="E14" s="5">
        <f t="shared" si="0"/>
        <v>7800</v>
      </c>
      <c r="F14" s="5">
        <f t="shared" si="1"/>
        <v>1.4958904109589042</v>
      </c>
    </row>
    <row r="15" spans="1:7" x14ac:dyDescent="0.25">
      <c r="A15" s="9">
        <v>44110</v>
      </c>
      <c r="B15" s="3">
        <f t="shared" si="2"/>
        <v>7800</v>
      </c>
      <c r="C15" s="3">
        <v>800</v>
      </c>
      <c r="D15" s="3">
        <v>0</v>
      </c>
      <c r="E15" s="5">
        <f t="shared" si="0"/>
        <v>8600</v>
      </c>
      <c r="F15" s="5">
        <f t="shared" si="1"/>
        <v>1.649315068493151</v>
      </c>
    </row>
    <row r="16" spans="1:7" x14ac:dyDescent="0.25">
      <c r="A16" s="9">
        <v>44111</v>
      </c>
      <c r="B16" s="3">
        <f t="shared" si="2"/>
        <v>8600</v>
      </c>
      <c r="C16" s="3">
        <v>0</v>
      </c>
      <c r="D16" s="3">
        <v>0</v>
      </c>
      <c r="E16" s="5">
        <f t="shared" si="0"/>
        <v>8600</v>
      </c>
      <c r="F16" s="5">
        <f t="shared" si="1"/>
        <v>1.649315068493151</v>
      </c>
    </row>
    <row r="17" spans="1:6" x14ac:dyDescent="0.25">
      <c r="A17" s="9">
        <v>44112</v>
      </c>
      <c r="B17" s="3">
        <f t="shared" si="2"/>
        <v>8600</v>
      </c>
      <c r="C17" s="3">
        <v>0</v>
      </c>
      <c r="D17" s="3">
        <v>0</v>
      </c>
      <c r="E17" s="5">
        <f t="shared" si="0"/>
        <v>8600</v>
      </c>
      <c r="F17" s="5">
        <f t="shared" si="1"/>
        <v>1.649315068493151</v>
      </c>
    </row>
    <row r="18" spans="1:6" x14ac:dyDescent="0.25">
      <c r="A18" s="9">
        <v>44113</v>
      </c>
      <c r="B18" s="3">
        <f t="shared" si="2"/>
        <v>8600</v>
      </c>
      <c r="C18" s="3">
        <v>200</v>
      </c>
      <c r="D18" s="3">
        <v>0</v>
      </c>
      <c r="E18" s="5">
        <f t="shared" si="0"/>
        <v>8800</v>
      </c>
      <c r="F18" s="5">
        <f t="shared" si="1"/>
        <v>1.6876712328767127</v>
      </c>
    </row>
    <row r="19" spans="1:6" x14ac:dyDescent="0.25">
      <c r="A19" s="9">
        <v>44114</v>
      </c>
      <c r="B19" s="3">
        <f t="shared" si="2"/>
        <v>8800</v>
      </c>
      <c r="C19" s="3">
        <v>0</v>
      </c>
      <c r="D19" s="3">
        <v>0</v>
      </c>
      <c r="E19" s="5">
        <f t="shared" si="0"/>
        <v>8800</v>
      </c>
      <c r="F19" s="5">
        <f t="shared" si="1"/>
        <v>1.6876712328767127</v>
      </c>
    </row>
    <row r="20" spans="1:6" x14ac:dyDescent="0.25">
      <c r="A20" s="9">
        <v>44115</v>
      </c>
      <c r="B20" s="3">
        <f t="shared" si="2"/>
        <v>8800</v>
      </c>
      <c r="C20" s="3">
        <v>0</v>
      </c>
      <c r="D20" s="3">
        <v>0</v>
      </c>
      <c r="E20" s="5">
        <f t="shared" si="0"/>
        <v>8800</v>
      </c>
      <c r="F20" s="5">
        <f t="shared" si="1"/>
        <v>1.6876712328767127</v>
      </c>
    </row>
    <row r="21" spans="1:6" x14ac:dyDescent="0.25">
      <c r="A21" s="9">
        <v>44116</v>
      </c>
      <c r="B21" s="3">
        <f t="shared" si="2"/>
        <v>8800</v>
      </c>
      <c r="C21" s="3">
        <v>1500</v>
      </c>
      <c r="D21" s="3">
        <v>0</v>
      </c>
      <c r="E21" s="5">
        <f t="shared" si="0"/>
        <v>10300</v>
      </c>
      <c r="F21" s="5">
        <f t="shared" si="1"/>
        <v>1.9753424657534249</v>
      </c>
    </row>
    <row r="22" spans="1:6" x14ac:dyDescent="0.25">
      <c r="A22" s="9">
        <v>44117</v>
      </c>
      <c r="B22" s="3">
        <f t="shared" si="2"/>
        <v>10300</v>
      </c>
      <c r="C22" s="3">
        <v>0</v>
      </c>
      <c r="D22" s="3">
        <v>0</v>
      </c>
      <c r="E22" s="5">
        <f t="shared" si="0"/>
        <v>10300</v>
      </c>
      <c r="F22" s="5">
        <f t="shared" si="1"/>
        <v>1.9753424657534249</v>
      </c>
    </row>
    <row r="23" spans="1:6" x14ac:dyDescent="0.25">
      <c r="A23" s="9">
        <v>44118</v>
      </c>
      <c r="B23" s="3">
        <f t="shared" si="2"/>
        <v>10300</v>
      </c>
      <c r="C23" s="3">
        <v>0</v>
      </c>
      <c r="D23" s="3">
        <v>0</v>
      </c>
      <c r="E23" s="5">
        <f t="shared" si="0"/>
        <v>10300</v>
      </c>
      <c r="F23" s="5">
        <f t="shared" si="1"/>
        <v>1.9753424657534249</v>
      </c>
    </row>
    <row r="24" spans="1:6" x14ac:dyDescent="0.25">
      <c r="A24" s="9">
        <v>44119</v>
      </c>
      <c r="B24" s="3">
        <f t="shared" si="2"/>
        <v>10300</v>
      </c>
      <c r="C24" s="3">
        <v>0</v>
      </c>
      <c r="D24" s="3">
        <v>2500</v>
      </c>
      <c r="E24" s="5">
        <f t="shared" si="0"/>
        <v>7800</v>
      </c>
      <c r="F24" s="5">
        <f t="shared" si="1"/>
        <v>1.4958904109589042</v>
      </c>
    </row>
    <row r="25" spans="1:6" x14ac:dyDescent="0.25">
      <c r="A25" s="9">
        <v>44120</v>
      </c>
      <c r="B25" s="3">
        <f t="shared" si="2"/>
        <v>7800</v>
      </c>
      <c r="C25" s="3">
        <v>1200</v>
      </c>
      <c r="D25" s="3">
        <v>0</v>
      </c>
      <c r="E25" s="5">
        <f t="shared" si="0"/>
        <v>9000</v>
      </c>
      <c r="F25" s="5">
        <f t="shared" si="1"/>
        <v>1.7260273972602742</v>
      </c>
    </row>
    <row r="26" spans="1:6" x14ac:dyDescent="0.25">
      <c r="A26" s="9">
        <v>44121</v>
      </c>
      <c r="B26" s="3">
        <f t="shared" si="2"/>
        <v>9000</v>
      </c>
      <c r="C26" s="3">
        <v>350</v>
      </c>
      <c r="D26" s="3">
        <v>0</v>
      </c>
      <c r="E26" s="5">
        <f t="shared" si="0"/>
        <v>9350</v>
      </c>
      <c r="F26" s="5">
        <f t="shared" si="1"/>
        <v>1.7931506849315071</v>
      </c>
    </row>
    <row r="27" spans="1:6" x14ac:dyDescent="0.25">
      <c r="A27" s="9">
        <v>44122</v>
      </c>
      <c r="B27" s="3">
        <f t="shared" si="2"/>
        <v>9350</v>
      </c>
      <c r="C27" s="3">
        <v>0</v>
      </c>
      <c r="D27" s="3">
        <v>0</v>
      </c>
      <c r="E27" s="5">
        <f t="shared" si="0"/>
        <v>9350</v>
      </c>
      <c r="F27" s="5">
        <f t="shared" si="1"/>
        <v>1.7931506849315071</v>
      </c>
    </row>
    <row r="28" spans="1:6" x14ac:dyDescent="0.25">
      <c r="A28" s="9">
        <v>44123</v>
      </c>
      <c r="B28" s="3">
        <f t="shared" si="2"/>
        <v>9350</v>
      </c>
      <c r="C28" s="3">
        <v>0</v>
      </c>
      <c r="D28" s="3">
        <v>0</v>
      </c>
      <c r="E28" s="5">
        <f t="shared" si="0"/>
        <v>9350</v>
      </c>
      <c r="F28" s="5">
        <f t="shared" si="1"/>
        <v>1.7931506849315071</v>
      </c>
    </row>
    <row r="29" spans="1:6" x14ac:dyDescent="0.25">
      <c r="A29" s="9">
        <v>44124</v>
      </c>
      <c r="B29" s="3">
        <f t="shared" si="2"/>
        <v>9350</v>
      </c>
      <c r="C29" s="3">
        <v>0</v>
      </c>
      <c r="D29" s="3">
        <v>0</v>
      </c>
      <c r="E29" s="5">
        <f t="shared" si="0"/>
        <v>9350</v>
      </c>
      <c r="F29" s="5">
        <f t="shared" si="1"/>
        <v>1.7931506849315071</v>
      </c>
    </row>
    <row r="30" spans="1:6" x14ac:dyDescent="0.25">
      <c r="A30" s="9">
        <v>44125</v>
      </c>
      <c r="B30" s="3">
        <f t="shared" si="2"/>
        <v>9350</v>
      </c>
      <c r="C30" s="3">
        <v>200</v>
      </c>
      <c r="D30" s="3">
        <v>0</v>
      </c>
      <c r="E30" s="5">
        <f t="shared" si="0"/>
        <v>9550</v>
      </c>
      <c r="F30" s="5">
        <f t="shared" si="1"/>
        <v>1.8315068493150688</v>
      </c>
    </row>
    <row r="31" spans="1:6" x14ac:dyDescent="0.25">
      <c r="A31" s="9">
        <v>44126</v>
      </c>
      <c r="B31" s="3">
        <f t="shared" si="2"/>
        <v>9550</v>
      </c>
      <c r="C31" s="3">
        <v>0</v>
      </c>
      <c r="D31" s="3">
        <v>0</v>
      </c>
      <c r="E31" s="5">
        <f t="shared" si="0"/>
        <v>9550</v>
      </c>
      <c r="F31" s="5">
        <f t="shared" si="1"/>
        <v>1.8315068493150688</v>
      </c>
    </row>
    <row r="32" spans="1:6" x14ac:dyDescent="0.25">
      <c r="A32" s="9">
        <v>44127</v>
      </c>
      <c r="B32" s="3">
        <f t="shared" si="2"/>
        <v>9550</v>
      </c>
      <c r="C32" s="3">
        <v>500</v>
      </c>
      <c r="D32" s="3">
        <v>0</v>
      </c>
      <c r="E32" s="5">
        <f t="shared" si="0"/>
        <v>10050</v>
      </c>
      <c r="F32" s="5">
        <f t="shared" si="1"/>
        <v>1.9273972602739728</v>
      </c>
    </row>
    <row r="33" spans="1:7" x14ac:dyDescent="0.25">
      <c r="A33" s="9">
        <v>44128</v>
      </c>
      <c r="B33" s="3">
        <f t="shared" si="2"/>
        <v>10050</v>
      </c>
      <c r="C33" s="3">
        <v>0</v>
      </c>
      <c r="D33" s="3">
        <v>0</v>
      </c>
      <c r="E33" s="5">
        <f t="shared" si="0"/>
        <v>10050</v>
      </c>
      <c r="F33" s="5">
        <f t="shared" si="1"/>
        <v>1.9273972602739728</v>
      </c>
    </row>
    <row r="34" spans="1:7" x14ac:dyDescent="0.25">
      <c r="A34" s="9">
        <v>44129</v>
      </c>
      <c r="B34" s="3">
        <f t="shared" si="2"/>
        <v>10050</v>
      </c>
      <c r="C34" s="3">
        <v>0</v>
      </c>
      <c r="D34" s="3">
        <v>0</v>
      </c>
      <c r="E34" s="5">
        <f t="shared" si="0"/>
        <v>10050</v>
      </c>
      <c r="F34" s="5">
        <f t="shared" si="1"/>
        <v>1.9273972602739728</v>
      </c>
    </row>
    <row r="35" spans="1:7" x14ac:dyDescent="0.25">
      <c r="A35" s="9">
        <v>44130</v>
      </c>
      <c r="B35" s="3">
        <f t="shared" si="2"/>
        <v>10050</v>
      </c>
      <c r="C35" s="3">
        <v>0</v>
      </c>
      <c r="D35" s="3">
        <v>0</v>
      </c>
      <c r="E35" s="5">
        <f t="shared" si="0"/>
        <v>10050</v>
      </c>
      <c r="F35" s="5">
        <f t="shared" si="1"/>
        <v>1.9273972602739728</v>
      </c>
    </row>
    <row r="36" spans="1:7" x14ac:dyDescent="0.25">
      <c r="A36" s="9">
        <v>44131</v>
      </c>
      <c r="B36" s="3">
        <f t="shared" si="2"/>
        <v>10050</v>
      </c>
      <c r="C36" s="3">
        <v>0</v>
      </c>
      <c r="D36" s="3">
        <v>0</v>
      </c>
      <c r="E36" s="5">
        <f t="shared" si="0"/>
        <v>10050</v>
      </c>
      <c r="F36" s="5">
        <f t="shared" si="1"/>
        <v>1.9273972602739728</v>
      </c>
    </row>
    <row r="37" spans="1:7" x14ac:dyDescent="0.25">
      <c r="A37" s="9">
        <v>44132</v>
      </c>
      <c r="B37" s="3">
        <f t="shared" si="2"/>
        <v>10050</v>
      </c>
      <c r="C37" s="3">
        <v>1300</v>
      </c>
      <c r="D37" s="3">
        <v>0</v>
      </c>
      <c r="E37" s="5">
        <f t="shared" si="0"/>
        <v>11350</v>
      </c>
      <c r="F37" s="5">
        <f t="shared" si="1"/>
        <v>2.1767123287671235</v>
      </c>
    </row>
    <row r="38" spans="1:7" x14ac:dyDescent="0.25">
      <c r="A38" s="9">
        <v>44133</v>
      </c>
      <c r="B38" s="3">
        <f t="shared" si="2"/>
        <v>11350</v>
      </c>
      <c r="C38" s="3">
        <v>800</v>
      </c>
      <c r="D38" s="3">
        <v>0</v>
      </c>
      <c r="E38" s="5">
        <f t="shared" si="0"/>
        <v>12150</v>
      </c>
      <c r="F38" s="5">
        <f t="shared" si="1"/>
        <v>2.3301369863013703</v>
      </c>
    </row>
    <row r="39" spans="1:7" x14ac:dyDescent="0.25">
      <c r="A39" s="9">
        <v>44134</v>
      </c>
      <c r="B39" s="3">
        <f t="shared" si="2"/>
        <v>12150</v>
      </c>
      <c r="C39" s="3">
        <v>0</v>
      </c>
      <c r="D39" s="3">
        <v>0</v>
      </c>
      <c r="E39" s="5">
        <f t="shared" si="0"/>
        <v>12150</v>
      </c>
      <c r="F39" s="5">
        <f t="shared" si="1"/>
        <v>2.3301369863013703</v>
      </c>
    </row>
    <row r="40" spans="1:7" x14ac:dyDescent="0.25">
      <c r="A40" s="9">
        <v>44135</v>
      </c>
      <c r="B40" s="3">
        <f t="shared" si="2"/>
        <v>12150</v>
      </c>
      <c r="C40" s="3">
        <v>0</v>
      </c>
      <c r="D40" s="3">
        <v>0</v>
      </c>
      <c r="E40" s="5">
        <f t="shared" si="0"/>
        <v>12150</v>
      </c>
      <c r="F40" s="5">
        <f t="shared" si="1"/>
        <v>2.3301369863013703</v>
      </c>
      <c r="G40" s="5">
        <f>SUM(F10:F40)</f>
        <v>56.163013698630131</v>
      </c>
    </row>
    <row r="41" spans="1:7" x14ac:dyDescent="0.25">
      <c r="A41" s="9">
        <v>44136</v>
      </c>
      <c r="B41" s="3">
        <f t="shared" si="2"/>
        <v>12150</v>
      </c>
      <c r="C41" s="3">
        <v>0</v>
      </c>
      <c r="D41" s="3">
        <v>2500</v>
      </c>
      <c r="E41" s="5">
        <f t="shared" si="0"/>
        <v>9650</v>
      </c>
      <c r="F41" s="5">
        <f t="shared" si="1"/>
        <v>1.8506849315068497</v>
      </c>
      <c r="G41" s="5"/>
    </row>
    <row r="42" spans="1:7" x14ac:dyDescent="0.25">
      <c r="A42" s="9">
        <v>44137</v>
      </c>
      <c r="B42" s="3">
        <f t="shared" si="2"/>
        <v>9650</v>
      </c>
      <c r="C42" s="3">
        <v>0</v>
      </c>
      <c r="D42" s="3">
        <v>0</v>
      </c>
      <c r="E42" s="5">
        <f t="shared" si="0"/>
        <v>9650</v>
      </c>
      <c r="F42" s="5">
        <f t="shared" si="1"/>
        <v>1.8506849315068497</v>
      </c>
    </row>
    <row r="43" spans="1:7" x14ac:dyDescent="0.25">
      <c r="A43" s="9">
        <v>44138</v>
      </c>
      <c r="B43" s="3">
        <f t="shared" si="2"/>
        <v>9650</v>
      </c>
      <c r="C43" s="3">
        <v>0</v>
      </c>
      <c r="D43" s="3">
        <v>0</v>
      </c>
      <c r="E43" s="5">
        <f t="shared" si="0"/>
        <v>9650</v>
      </c>
      <c r="F43" s="5">
        <f t="shared" si="1"/>
        <v>1.8506849315068497</v>
      </c>
    </row>
    <row r="44" spans="1:7" x14ac:dyDescent="0.25">
      <c r="A44" s="9">
        <v>44139</v>
      </c>
      <c r="B44" s="3">
        <f t="shared" si="2"/>
        <v>9650</v>
      </c>
      <c r="C44" s="3">
        <v>0</v>
      </c>
      <c r="D44" s="3">
        <v>0</v>
      </c>
      <c r="E44" s="5">
        <f t="shared" si="0"/>
        <v>9650</v>
      </c>
      <c r="F44" s="5">
        <f t="shared" si="1"/>
        <v>1.8506849315068497</v>
      </c>
    </row>
    <row r="45" spans="1:7" x14ac:dyDescent="0.25">
      <c r="A45" s="9">
        <v>44140</v>
      </c>
      <c r="B45" s="3">
        <f t="shared" si="2"/>
        <v>9650</v>
      </c>
      <c r="C45" s="3">
        <v>0</v>
      </c>
      <c r="D45" s="3">
        <v>0</v>
      </c>
      <c r="E45" s="5">
        <f t="shared" si="0"/>
        <v>9650</v>
      </c>
      <c r="F45" s="5">
        <f t="shared" si="1"/>
        <v>1.8506849315068497</v>
      </c>
    </row>
    <row r="46" spans="1:7" x14ac:dyDescent="0.25">
      <c r="A46" s="9">
        <v>44141</v>
      </c>
      <c r="B46" s="3">
        <f t="shared" si="2"/>
        <v>9650</v>
      </c>
      <c r="C46" s="3">
        <v>0</v>
      </c>
      <c r="D46" s="3">
        <v>0</v>
      </c>
      <c r="E46" s="5">
        <f t="shared" si="0"/>
        <v>9650</v>
      </c>
      <c r="F46" s="5">
        <f t="shared" si="1"/>
        <v>1.8506849315068497</v>
      </c>
    </row>
    <row r="47" spans="1:7" x14ac:dyDescent="0.25">
      <c r="A47" s="9">
        <v>44142</v>
      </c>
      <c r="B47" s="3">
        <f t="shared" si="2"/>
        <v>9650</v>
      </c>
      <c r="C47" s="3">
        <v>0</v>
      </c>
      <c r="D47" s="3">
        <v>0</v>
      </c>
      <c r="E47" s="5">
        <f t="shared" si="0"/>
        <v>9650</v>
      </c>
      <c r="F47" s="5">
        <f t="shared" si="1"/>
        <v>1.8506849315068497</v>
      </c>
    </row>
    <row r="48" spans="1:7" x14ac:dyDescent="0.25">
      <c r="A48" s="9">
        <v>44143</v>
      </c>
      <c r="B48" s="3">
        <f t="shared" si="2"/>
        <v>9650</v>
      </c>
      <c r="C48" s="3">
        <v>0</v>
      </c>
      <c r="D48" s="3">
        <v>0</v>
      </c>
      <c r="E48" s="5">
        <f t="shared" si="0"/>
        <v>9650</v>
      </c>
      <c r="F48" s="5">
        <f t="shared" si="1"/>
        <v>1.8506849315068497</v>
      </c>
    </row>
    <row r="49" spans="1:6" x14ac:dyDescent="0.25">
      <c r="A49" s="9">
        <v>44144</v>
      </c>
      <c r="B49" s="3">
        <f t="shared" si="2"/>
        <v>9650</v>
      </c>
      <c r="C49" s="3">
        <v>0</v>
      </c>
      <c r="D49" s="3">
        <v>0</v>
      </c>
      <c r="E49" s="5">
        <f t="shared" si="0"/>
        <v>9650</v>
      </c>
      <c r="F49" s="5">
        <f t="shared" si="1"/>
        <v>1.8506849315068497</v>
      </c>
    </row>
    <row r="50" spans="1:6" x14ac:dyDescent="0.25">
      <c r="A50" s="9">
        <v>44145</v>
      </c>
      <c r="B50" s="3">
        <f t="shared" si="2"/>
        <v>9650</v>
      </c>
      <c r="C50" s="3">
        <v>0</v>
      </c>
      <c r="D50" s="3">
        <v>0</v>
      </c>
      <c r="E50" s="5">
        <f t="shared" si="0"/>
        <v>9650</v>
      </c>
      <c r="F50" s="5">
        <f t="shared" si="1"/>
        <v>1.8506849315068497</v>
      </c>
    </row>
    <row r="51" spans="1:6" x14ac:dyDescent="0.25">
      <c r="A51" s="9">
        <v>44146</v>
      </c>
      <c r="B51" s="3">
        <f t="shared" si="2"/>
        <v>9650</v>
      </c>
      <c r="C51" s="3">
        <v>0</v>
      </c>
      <c r="D51" s="3">
        <v>0</v>
      </c>
      <c r="E51" s="5">
        <f t="shared" si="0"/>
        <v>9650</v>
      </c>
      <c r="F51" s="5">
        <f t="shared" si="1"/>
        <v>1.8506849315068497</v>
      </c>
    </row>
    <row r="52" spans="1:6" x14ac:dyDescent="0.25">
      <c r="A52" s="9">
        <v>44147</v>
      </c>
      <c r="B52" s="3">
        <f t="shared" si="2"/>
        <v>9650</v>
      </c>
      <c r="C52" s="3">
        <v>0</v>
      </c>
      <c r="D52" s="3">
        <v>0</v>
      </c>
      <c r="E52" s="5">
        <f t="shared" si="0"/>
        <v>9650</v>
      </c>
      <c r="F52" s="5">
        <f t="shared" si="1"/>
        <v>1.8506849315068497</v>
      </c>
    </row>
    <row r="53" spans="1:6" x14ac:dyDescent="0.25">
      <c r="A53" s="9">
        <v>44148</v>
      </c>
      <c r="B53" s="3">
        <f t="shared" si="2"/>
        <v>9650</v>
      </c>
      <c r="C53" s="3">
        <v>0</v>
      </c>
      <c r="D53" s="3">
        <v>0</v>
      </c>
      <c r="E53" s="5">
        <f t="shared" si="0"/>
        <v>9650</v>
      </c>
      <c r="F53" s="5">
        <f t="shared" si="1"/>
        <v>1.8506849315068497</v>
      </c>
    </row>
    <row r="54" spans="1:6" x14ac:dyDescent="0.25">
      <c r="A54" s="9">
        <v>44149</v>
      </c>
      <c r="B54" s="3">
        <f t="shared" si="2"/>
        <v>9650</v>
      </c>
      <c r="C54" s="3">
        <v>0</v>
      </c>
      <c r="D54" s="3">
        <v>0</v>
      </c>
      <c r="E54" s="5">
        <f t="shared" si="0"/>
        <v>9650</v>
      </c>
      <c r="F54" s="5">
        <f t="shared" si="1"/>
        <v>1.8506849315068497</v>
      </c>
    </row>
    <row r="55" spans="1:6" x14ac:dyDescent="0.25">
      <c r="A55" s="9">
        <v>44150</v>
      </c>
      <c r="B55" s="3">
        <f t="shared" si="2"/>
        <v>9650</v>
      </c>
      <c r="C55" s="3">
        <v>0</v>
      </c>
      <c r="D55" s="3">
        <v>2500</v>
      </c>
      <c r="E55" s="5">
        <f t="shared" si="0"/>
        <v>7150</v>
      </c>
      <c r="F55" s="5">
        <f t="shared" si="1"/>
        <v>1.371232876712329</v>
      </c>
    </row>
    <row r="56" spans="1:6" x14ac:dyDescent="0.25">
      <c r="A56" s="9">
        <v>44151</v>
      </c>
      <c r="B56" s="3">
        <f t="shared" si="2"/>
        <v>7150</v>
      </c>
      <c r="C56" s="3">
        <v>0</v>
      </c>
      <c r="D56" s="3">
        <v>0</v>
      </c>
      <c r="E56" s="5">
        <f t="shared" si="0"/>
        <v>7150</v>
      </c>
      <c r="F56" s="5">
        <f t="shared" si="1"/>
        <v>1.371232876712329</v>
      </c>
    </row>
    <row r="57" spans="1:6" x14ac:dyDescent="0.25">
      <c r="A57" s="9">
        <v>44152</v>
      </c>
      <c r="B57" s="3">
        <f t="shared" si="2"/>
        <v>7150</v>
      </c>
      <c r="C57" s="3">
        <v>0</v>
      </c>
      <c r="D57" s="3">
        <v>0</v>
      </c>
      <c r="E57" s="5">
        <f t="shared" si="0"/>
        <v>7150</v>
      </c>
      <c r="F57" s="5">
        <f t="shared" si="1"/>
        <v>1.371232876712329</v>
      </c>
    </row>
    <row r="58" spans="1:6" x14ac:dyDescent="0.25">
      <c r="A58" s="9">
        <v>44153</v>
      </c>
      <c r="B58" s="3">
        <f t="shared" si="2"/>
        <v>7150</v>
      </c>
      <c r="C58" s="3">
        <v>0</v>
      </c>
      <c r="D58" s="3">
        <v>0</v>
      </c>
      <c r="E58" s="5">
        <f t="shared" si="0"/>
        <v>7150</v>
      </c>
      <c r="F58" s="5">
        <f t="shared" si="1"/>
        <v>1.371232876712329</v>
      </c>
    </row>
    <row r="59" spans="1:6" x14ac:dyDescent="0.25">
      <c r="A59" s="9">
        <v>44154</v>
      </c>
      <c r="B59" s="3">
        <f t="shared" si="2"/>
        <v>7150</v>
      </c>
      <c r="C59" s="3">
        <v>0</v>
      </c>
      <c r="D59" s="3">
        <v>0</v>
      </c>
      <c r="E59" s="5">
        <f t="shared" si="0"/>
        <v>7150</v>
      </c>
      <c r="F59" s="5">
        <f t="shared" si="1"/>
        <v>1.371232876712329</v>
      </c>
    </row>
    <row r="60" spans="1:6" x14ac:dyDescent="0.25">
      <c r="A60" s="9">
        <v>44155</v>
      </c>
      <c r="B60" s="3">
        <f t="shared" si="2"/>
        <v>7150</v>
      </c>
      <c r="C60" s="3">
        <v>0</v>
      </c>
      <c r="D60" s="3">
        <v>0</v>
      </c>
      <c r="E60" s="5">
        <f t="shared" si="0"/>
        <v>7150</v>
      </c>
      <c r="F60" s="5">
        <f t="shared" si="1"/>
        <v>1.371232876712329</v>
      </c>
    </row>
    <row r="61" spans="1:6" x14ac:dyDescent="0.25">
      <c r="A61" s="9">
        <v>44156</v>
      </c>
      <c r="B61" s="3">
        <f t="shared" si="2"/>
        <v>7150</v>
      </c>
      <c r="C61" s="3">
        <v>0</v>
      </c>
      <c r="D61" s="3">
        <v>0</v>
      </c>
      <c r="E61" s="5">
        <f t="shared" si="0"/>
        <v>7150</v>
      </c>
      <c r="F61" s="5">
        <f t="shared" si="1"/>
        <v>1.371232876712329</v>
      </c>
    </row>
    <row r="62" spans="1:6" x14ac:dyDescent="0.25">
      <c r="A62" s="9">
        <v>44157</v>
      </c>
      <c r="B62" s="3">
        <f t="shared" si="2"/>
        <v>7150</v>
      </c>
      <c r="C62" s="3">
        <v>0</v>
      </c>
      <c r="D62" s="3">
        <v>0</v>
      </c>
      <c r="E62" s="5">
        <f t="shared" si="0"/>
        <v>7150</v>
      </c>
      <c r="F62" s="5">
        <f t="shared" si="1"/>
        <v>1.371232876712329</v>
      </c>
    </row>
    <row r="63" spans="1:6" x14ac:dyDescent="0.25">
      <c r="A63" s="9">
        <v>44158</v>
      </c>
      <c r="B63" s="3">
        <f t="shared" si="2"/>
        <v>7150</v>
      </c>
      <c r="C63" s="3">
        <v>0</v>
      </c>
      <c r="D63" s="3">
        <v>0</v>
      </c>
      <c r="E63" s="5">
        <f t="shared" si="0"/>
        <v>7150</v>
      </c>
      <c r="F63" s="5">
        <f t="shared" si="1"/>
        <v>1.371232876712329</v>
      </c>
    </row>
    <row r="64" spans="1:6" x14ac:dyDescent="0.25">
      <c r="A64" s="9">
        <v>44159</v>
      </c>
      <c r="B64" s="3">
        <f t="shared" si="2"/>
        <v>7150</v>
      </c>
      <c r="C64" s="3">
        <v>0</v>
      </c>
      <c r="D64" s="3">
        <v>0</v>
      </c>
      <c r="E64" s="5">
        <f t="shared" si="0"/>
        <v>7150</v>
      </c>
      <c r="F64" s="5">
        <f t="shared" si="1"/>
        <v>1.371232876712329</v>
      </c>
    </row>
    <row r="65" spans="1:7" x14ac:dyDescent="0.25">
      <c r="A65" s="9">
        <v>44160</v>
      </c>
      <c r="B65" s="3">
        <f t="shared" si="2"/>
        <v>7150</v>
      </c>
      <c r="C65" s="3">
        <v>0</v>
      </c>
      <c r="D65" s="3">
        <v>0</v>
      </c>
      <c r="E65" s="5">
        <f t="shared" si="0"/>
        <v>7150</v>
      </c>
      <c r="F65" s="5">
        <f t="shared" si="1"/>
        <v>1.371232876712329</v>
      </c>
    </row>
    <row r="66" spans="1:7" x14ac:dyDescent="0.25">
      <c r="A66" s="9">
        <v>44161</v>
      </c>
      <c r="B66" s="3">
        <f t="shared" si="2"/>
        <v>7150</v>
      </c>
      <c r="C66" s="3">
        <v>0</v>
      </c>
      <c r="D66" s="3">
        <v>0</v>
      </c>
      <c r="E66" s="5">
        <f t="shared" si="0"/>
        <v>7150</v>
      </c>
      <c r="F66" s="5">
        <f t="shared" si="1"/>
        <v>1.371232876712329</v>
      </c>
    </row>
    <row r="67" spans="1:7" x14ac:dyDescent="0.25">
      <c r="A67" s="9">
        <v>44162</v>
      </c>
      <c r="B67" s="3">
        <f t="shared" si="2"/>
        <v>7150</v>
      </c>
      <c r="C67" s="3">
        <v>0</v>
      </c>
      <c r="D67" s="3">
        <v>0</v>
      </c>
      <c r="E67" s="5">
        <f t="shared" si="0"/>
        <v>7150</v>
      </c>
      <c r="F67" s="5">
        <f t="shared" si="1"/>
        <v>1.371232876712329</v>
      </c>
    </row>
    <row r="68" spans="1:7" x14ac:dyDescent="0.25">
      <c r="A68" s="9">
        <v>44163</v>
      </c>
      <c r="B68" s="3">
        <f t="shared" si="2"/>
        <v>7150</v>
      </c>
      <c r="C68" s="3">
        <v>0</v>
      </c>
      <c r="D68" s="3">
        <v>0</v>
      </c>
      <c r="E68" s="5">
        <f t="shared" si="0"/>
        <v>7150</v>
      </c>
      <c r="F68" s="5">
        <f t="shared" si="1"/>
        <v>1.371232876712329</v>
      </c>
    </row>
    <row r="69" spans="1:7" x14ac:dyDescent="0.25">
      <c r="A69" s="9">
        <v>44164</v>
      </c>
      <c r="B69" s="3">
        <f t="shared" si="2"/>
        <v>7150</v>
      </c>
      <c r="C69" s="3">
        <v>0</v>
      </c>
      <c r="D69" s="3">
        <v>0</v>
      </c>
      <c r="E69" s="5">
        <f t="shared" si="0"/>
        <v>7150</v>
      </c>
      <c r="F69" s="5">
        <f t="shared" si="1"/>
        <v>1.371232876712329</v>
      </c>
    </row>
    <row r="70" spans="1:7" x14ac:dyDescent="0.25">
      <c r="A70" s="9">
        <v>44165</v>
      </c>
      <c r="B70" s="3">
        <f t="shared" si="2"/>
        <v>7150</v>
      </c>
      <c r="C70" s="3">
        <v>0</v>
      </c>
      <c r="D70" s="3">
        <v>0</v>
      </c>
      <c r="E70" s="5">
        <f t="shared" si="0"/>
        <v>7150</v>
      </c>
      <c r="F70" s="5">
        <f t="shared" si="1"/>
        <v>1.371232876712329</v>
      </c>
      <c r="G70" s="5">
        <f>SUM(F41:F70)</f>
        <v>47.849315068493127</v>
      </c>
    </row>
    <row r="71" spans="1:7" x14ac:dyDescent="0.25">
      <c r="A71" s="9"/>
      <c r="B71" s="3"/>
      <c r="C71" s="3"/>
      <c r="F71" s="5"/>
    </row>
    <row r="72" spans="1:7" x14ac:dyDescent="0.25">
      <c r="A72" s="9"/>
      <c r="B72" s="3"/>
      <c r="C72" s="3"/>
      <c r="F72" s="5"/>
    </row>
    <row r="73" spans="1:7" x14ac:dyDescent="0.25">
      <c r="A73" s="9"/>
      <c r="B73" s="3"/>
      <c r="C73" s="3"/>
    </row>
    <row r="74" spans="1:7" x14ac:dyDescent="0.25">
      <c r="A74" s="1" t="s">
        <v>8</v>
      </c>
      <c r="B74" s="3"/>
      <c r="C74" s="3"/>
    </row>
    <row r="75" spans="1:7" x14ac:dyDescent="0.25">
      <c r="B75" s="3"/>
    </row>
    <row r="76" spans="1:7" ht="15.75" thickBot="1" x14ac:dyDescent="0.3">
      <c r="B76" s="3" t="s">
        <v>6</v>
      </c>
      <c r="C76" s="6">
        <v>4.4999999999999998E-2</v>
      </c>
      <c r="D76" t="s">
        <v>21</v>
      </c>
    </row>
    <row r="77" spans="1:7" ht="15.75" thickBot="1" x14ac:dyDescent="0.3">
      <c r="B77" s="3" t="s">
        <v>7</v>
      </c>
      <c r="C77" s="11">
        <f>PMT(4.5/100/12,60,E70,0)</f>
        <v>-133.29758757684405</v>
      </c>
    </row>
    <row r="78" spans="1:7" x14ac:dyDescent="0.25">
      <c r="B78" t="s">
        <v>20</v>
      </c>
      <c r="C78">
        <f>COUNT(A80:A139)</f>
        <v>60</v>
      </c>
    </row>
    <row r="79" spans="1:7" ht="30" x14ac:dyDescent="0.25">
      <c r="A79" s="1" t="s">
        <v>1</v>
      </c>
      <c r="B79" s="7" t="s">
        <v>4</v>
      </c>
      <c r="C79" s="4" t="s">
        <v>5</v>
      </c>
      <c r="D79" s="4" t="s">
        <v>9</v>
      </c>
      <c r="E79" s="4" t="s">
        <v>2</v>
      </c>
    </row>
    <row r="80" spans="1:7" x14ac:dyDescent="0.25">
      <c r="A80" s="2">
        <v>44166</v>
      </c>
      <c r="B80" s="12">
        <f>E70</f>
        <v>7150</v>
      </c>
      <c r="C80" s="13">
        <f>B80*$C$76/12</f>
        <v>26.8125</v>
      </c>
      <c r="D80" s="13">
        <f>-$C$77-C80</f>
        <v>106.48508757684405</v>
      </c>
      <c r="E80" s="13">
        <f>B80-D80</f>
        <v>7043.5149124231557</v>
      </c>
    </row>
    <row r="81" spans="1:5" x14ac:dyDescent="0.25">
      <c r="A81" s="2">
        <v>44197</v>
      </c>
      <c r="B81" s="5">
        <f>E80</f>
        <v>7043.5149124231557</v>
      </c>
      <c r="C81" s="13">
        <f t="shared" ref="C81:C139" si="3">B81*$C$76/12</f>
        <v>26.413180921586832</v>
      </c>
      <c r="D81" s="13">
        <f t="shared" ref="D81:D139" si="4">-$C$77-C81</f>
        <v>106.88440665525722</v>
      </c>
      <c r="E81" s="13">
        <f t="shared" ref="E81:E139" si="5">B81-D81</f>
        <v>6936.6305057678983</v>
      </c>
    </row>
    <row r="82" spans="1:5" x14ac:dyDescent="0.25">
      <c r="A82" s="2">
        <v>44228</v>
      </c>
      <c r="B82" s="5">
        <f t="shared" ref="B82:B139" si="6">E81</f>
        <v>6936.6305057678983</v>
      </c>
      <c r="C82" s="13">
        <f t="shared" si="3"/>
        <v>26.012364396629618</v>
      </c>
      <c r="D82" s="13">
        <f t="shared" si="4"/>
        <v>107.28522318021443</v>
      </c>
      <c r="E82" s="13">
        <f t="shared" si="5"/>
        <v>6829.3452825876839</v>
      </c>
    </row>
    <row r="83" spans="1:5" x14ac:dyDescent="0.25">
      <c r="A83" s="2">
        <v>44256</v>
      </c>
      <c r="B83" s="5">
        <f t="shared" si="6"/>
        <v>6829.3452825876839</v>
      </c>
      <c r="C83" s="13">
        <f t="shared" si="3"/>
        <v>25.610044809703812</v>
      </c>
      <c r="D83" s="13">
        <f t="shared" si="4"/>
        <v>107.68754276714024</v>
      </c>
      <c r="E83" s="13">
        <f t="shared" si="5"/>
        <v>6721.6577398205436</v>
      </c>
    </row>
    <row r="84" spans="1:5" x14ac:dyDescent="0.25">
      <c r="A84" s="2">
        <v>44287</v>
      </c>
      <c r="B84" s="5">
        <f t="shared" si="6"/>
        <v>6721.6577398205436</v>
      </c>
      <c r="C84" s="13">
        <f t="shared" si="3"/>
        <v>25.206216524327036</v>
      </c>
      <c r="D84" s="13">
        <f t="shared" si="4"/>
        <v>108.09137105251702</v>
      </c>
      <c r="E84" s="13">
        <f t="shared" si="5"/>
        <v>6613.5663687680262</v>
      </c>
    </row>
    <row r="85" spans="1:5" x14ac:dyDescent="0.25">
      <c r="A85" s="2">
        <v>44317</v>
      </c>
      <c r="B85" s="5">
        <f t="shared" si="6"/>
        <v>6613.5663687680262</v>
      </c>
      <c r="C85" s="13">
        <f t="shared" si="3"/>
        <v>24.800873882880097</v>
      </c>
      <c r="D85" s="13">
        <f t="shared" si="4"/>
        <v>108.49671369396395</v>
      </c>
      <c r="E85" s="13">
        <f t="shared" si="5"/>
        <v>6505.0696550740622</v>
      </c>
    </row>
    <row r="86" spans="1:5" x14ac:dyDescent="0.25">
      <c r="A86" s="2">
        <v>44348</v>
      </c>
      <c r="B86" s="5">
        <f t="shared" si="6"/>
        <v>6505.0696550740622</v>
      </c>
      <c r="C86" s="13">
        <f t="shared" si="3"/>
        <v>24.394011206527733</v>
      </c>
      <c r="D86" s="13">
        <f t="shared" si="4"/>
        <v>108.90357637031632</v>
      </c>
      <c r="E86" s="13">
        <f t="shared" si="5"/>
        <v>6396.1660787037463</v>
      </c>
    </row>
    <row r="87" spans="1:5" x14ac:dyDescent="0.25">
      <c r="A87" s="2">
        <v>44378</v>
      </c>
      <c r="B87" s="5">
        <f t="shared" si="6"/>
        <v>6396.1660787037463</v>
      </c>
      <c r="C87" s="13">
        <f t="shared" si="3"/>
        <v>23.985622795139047</v>
      </c>
      <c r="D87" s="13">
        <f t="shared" si="4"/>
        <v>109.311964781705</v>
      </c>
      <c r="E87" s="13">
        <f t="shared" si="5"/>
        <v>6286.8541139220415</v>
      </c>
    </row>
    <row r="88" spans="1:5" x14ac:dyDescent="0.25">
      <c r="A88" s="2">
        <v>44409</v>
      </c>
      <c r="B88" s="5">
        <f t="shared" si="6"/>
        <v>6286.8541139220415</v>
      </c>
      <c r="C88" s="13">
        <f t="shared" si="3"/>
        <v>23.575702927207654</v>
      </c>
      <c r="D88" s="13">
        <f t="shared" si="4"/>
        <v>109.72188464963639</v>
      </c>
      <c r="E88" s="13">
        <f t="shared" si="5"/>
        <v>6177.1322292724053</v>
      </c>
    </row>
    <row r="89" spans="1:5" x14ac:dyDescent="0.25">
      <c r="A89" s="2">
        <v>44440</v>
      </c>
      <c r="B89" s="5">
        <f t="shared" si="6"/>
        <v>6177.1322292724053</v>
      </c>
      <c r="C89" s="13">
        <f t="shared" si="3"/>
        <v>23.164245859771516</v>
      </c>
      <c r="D89" s="13">
        <f t="shared" si="4"/>
        <v>110.13334171707254</v>
      </c>
      <c r="E89" s="13">
        <f t="shared" si="5"/>
        <v>6066.9988875553327</v>
      </c>
    </row>
    <row r="90" spans="1:5" x14ac:dyDescent="0.25">
      <c r="A90" s="2">
        <v>44470</v>
      </c>
      <c r="B90" s="5">
        <f t="shared" si="6"/>
        <v>6066.9988875553327</v>
      </c>
      <c r="C90" s="13">
        <f t="shared" si="3"/>
        <v>22.751245828332497</v>
      </c>
      <c r="D90" s="13">
        <f t="shared" si="4"/>
        <v>110.54634174851155</v>
      </c>
      <c r="E90" s="13">
        <f t="shared" si="5"/>
        <v>5956.452545806821</v>
      </c>
    </row>
    <row r="91" spans="1:5" x14ac:dyDescent="0.25">
      <c r="A91" s="2">
        <v>44501</v>
      </c>
      <c r="B91" s="5">
        <f t="shared" si="6"/>
        <v>5956.452545806821</v>
      </c>
      <c r="C91" s="13">
        <f t="shared" si="3"/>
        <v>22.33669704677558</v>
      </c>
      <c r="D91" s="13">
        <f t="shared" si="4"/>
        <v>110.96089053006847</v>
      </c>
      <c r="E91" s="13">
        <f t="shared" si="5"/>
        <v>5845.4916552767527</v>
      </c>
    </row>
    <row r="92" spans="1:5" x14ac:dyDescent="0.25">
      <c r="A92" s="2">
        <v>44531</v>
      </c>
      <c r="B92" s="5">
        <f t="shared" si="6"/>
        <v>5845.4916552767527</v>
      </c>
      <c r="C92" s="13">
        <f t="shared" si="3"/>
        <v>21.920593707287821</v>
      </c>
      <c r="D92" s="13">
        <f t="shared" si="4"/>
        <v>111.37699386955623</v>
      </c>
      <c r="E92" s="13">
        <f t="shared" si="5"/>
        <v>5734.1146614071968</v>
      </c>
    </row>
    <row r="93" spans="1:5" x14ac:dyDescent="0.25">
      <c r="A93" s="2">
        <v>44562</v>
      </c>
      <c r="B93" s="5">
        <f t="shared" si="6"/>
        <v>5734.1146614071968</v>
      </c>
      <c r="C93" s="13">
        <f t="shared" si="3"/>
        <v>21.502929980276988</v>
      </c>
      <c r="D93" s="13">
        <f t="shared" si="4"/>
        <v>111.79465759656706</v>
      </c>
      <c r="E93" s="13">
        <f t="shared" si="5"/>
        <v>5622.3200038106297</v>
      </c>
    </row>
    <row r="94" spans="1:5" x14ac:dyDescent="0.25">
      <c r="A94" s="2">
        <v>44593</v>
      </c>
      <c r="B94" s="5">
        <f t="shared" si="6"/>
        <v>5622.3200038106297</v>
      </c>
      <c r="C94" s="13">
        <f t="shared" si="3"/>
        <v>21.08370001428986</v>
      </c>
      <c r="D94" s="13">
        <f t="shared" si="4"/>
        <v>112.21388756255419</v>
      </c>
      <c r="E94" s="13">
        <f t="shared" si="5"/>
        <v>5510.1061162480755</v>
      </c>
    </row>
    <row r="95" spans="1:5" x14ac:dyDescent="0.25">
      <c r="A95" s="2">
        <v>44621</v>
      </c>
      <c r="B95" s="5">
        <f t="shared" si="6"/>
        <v>5510.1061162480755</v>
      </c>
      <c r="C95" s="13">
        <f t="shared" si="3"/>
        <v>20.662897935930282</v>
      </c>
      <c r="D95" s="13">
        <f t="shared" si="4"/>
        <v>112.63468964091376</v>
      </c>
      <c r="E95" s="13">
        <f t="shared" si="5"/>
        <v>5397.4714266071614</v>
      </c>
    </row>
    <row r="96" spans="1:5" x14ac:dyDescent="0.25">
      <c r="A96" s="2">
        <v>44652</v>
      </c>
      <c r="B96" s="5">
        <f t="shared" si="6"/>
        <v>5397.4714266071614</v>
      </c>
      <c r="C96" s="13">
        <f t="shared" si="3"/>
        <v>20.240517849776854</v>
      </c>
      <c r="D96" s="13">
        <f t="shared" si="4"/>
        <v>113.0570697270672</v>
      </c>
      <c r="E96" s="13">
        <f t="shared" si="5"/>
        <v>5284.4143568800946</v>
      </c>
    </row>
    <row r="97" spans="1:5" x14ac:dyDescent="0.25">
      <c r="A97" s="2">
        <v>44682</v>
      </c>
      <c r="B97" s="5">
        <f t="shared" si="6"/>
        <v>5284.4143568800946</v>
      </c>
      <c r="C97" s="13">
        <f t="shared" si="3"/>
        <v>19.816553838300354</v>
      </c>
      <c r="D97" s="13">
        <f t="shared" si="4"/>
        <v>113.4810337385437</v>
      </c>
      <c r="E97" s="13">
        <f t="shared" si="5"/>
        <v>5170.9333231415512</v>
      </c>
    </row>
    <row r="98" spans="1:5" x14ac:dyDescent="0.25">
      <c r="A98" s="2">
        <v>44713</v>
      </c>
      <c r="B98" s="5">
        <f t="shared" si="6"/>
        <v>5170.9333231415512</v>
      </c>
      <c r="C98" s="13">
        <f t="shared" si="3"/>
        <v>19.390999961780818</v>
      </c>
      <c r="D98" s="13">
        <f t="shared" si="4"/>
        <v>113.90658761506323</v>
      </c>
      <c r="E98" s="13">
        <f t="shared" si="5"/>
        <v>5057.0267355264878</v>
      </c>
    </row>
    <row r="99" spans="1:5" x14ac:dyDescent="0.25">
      <c r="A99" s="2">
        <v>44743</v>
      </c>
      <c r="B99" s="5">
        <f t="shared" si="6"/>
        <v>5057.0267355264878</v>
      </c>
      <c r="C99" s="13">
        <f t="shared" si="3"/>
        <v>18.96385025822433</v>
      </c>
      <c r="D99" s="13">
        <f t="shared" si="4"/>
        <v>114.33373731861973</v>
      </c>
      <c r="E99" s="13">
        <f t="shared" si="5"/>
        <v>4942.6929982078682</v>
      </c>
    </row>
    <row r="100" spans="1:5" x14ac:dyDescent="0.25">
      <c r="A100" s="2">
        <v>44774</v>
      </c>
      <c r="B100" s="5">
        <f t="shared" si="6"/>
        <v>4942.6929982078682</v>
      </c>
      <c r="C100" s="13">
        <f t="shared" si="3"/>
        <v>18.535098743279505</v>
      </c>
      <c r="D100" s="13">
        <f t="shared" si="4"/>
        <v>114.76248883356455</v>
      </c>
      <c r="E100" s="13">
        <f t="shared" si="5"/>
        <v>4827.9305093743033</v>
      </c>
    </row>
    <row r="101" spans="1:5" x14ac:dyDescent="0.25">
      <c r="A101" s="2">
        <v>44805</v>
      </c>
      <c r="B101" s="5">
        <f t="shared" si="6"/>
        <v>4827.9305093743033</v>
      </c>
      <c r="C101" s="13">
        <f t="shared" si="3"/>
        <v>18.104739410153638</v>
      </c>
      <c r="D101" s="13">
        <f t="shared" si="4"/>
        <v>115.19284816669041</v>
      </c>
      <c r="E101" s="13">
        <f t="shared" si="5"/>
        <v>4712.7376612076132</v>
      </c>
    </row>
    <row r="102" spans="1:5" x14ac:dyDescent="0.25">
      <c r="A102" s="2">
        <v>44835</v>
      </c>
      <c r="B102" s="5">
        <f t="shared" si="6"/>
        <v>4712.7376612076132</v>
      </c>
      <c r="C102" s="13">
        <f t="shared" si="3"/>
        <v>17.672766229528548</v>
      </c>
      <c r="D102" s="13">
        <f t="shared" si="4"/>
        <v>115.6248213473155</v>
      </c>
      <c r="E102" s="13">
        <f t="shared" si="5"/>
        <v>4597.1128398602978</v>
      </c>
    </row>
    <row r="103" spans="1:5" x14ac:dyDescent="0.25">
      <c r="A103" s="2">
        <v>44866</v>
      </c>
      <c r="B103" s="5">
        <f t="shared" si="6"/>
        <v>4597.1128398602978</v>
      </c>
      <c r="C103" s="13">
        <f t="shared" si="3"/>
        <v>17.239173149476116</v>
      </c>
      <c r="D103" s="13">
        <f t="shared" si="4"/>
        <v>116.05841442736794</v>
      </c>
      <c r="E103" s="13">
        <f t="shared" si="5"/>
        <v>4481.0544254329297</v>
      </c>
    </row>
    <row r="104" spans="1:5" x14ac:dyDescent="0.25">
      <c r="A104" s="2">
        <v>44896</v>
      </c>
      <c r="B104" s="5">
        <f t="shared" si="6"/>
        <v>4481.0544254329297</v>
      </c>
      <c r="C104" s="13">
        <f t="shared" si="3"/>
        <v>16.803954095373488</v>
      </c>
      <c r="D104" s="13">
        <f t="shared" si="4"/>
        <v>116.49363348147057</v>
      </c>
      <c r="E104" s="13">
        <f t="shared" si="5"/>
        <v>4364.5607919514596</v>
      </c>
    </row>
    <row r="105" spans="1:5" x14ac:dyDescent="0.25">
      <c r="A105" s="2">
        <v>44927</v>
      </c>
      <c r="B105" s="5">
        <f t="shared" si="6"/>
        <v>4364.5607919514596</v>
      </c>
      <c r="C105" s="13">
        <f t="shared" si="3"/>
        <v>16.367102969817974</v>
      </c>
      <c r="D105" s="13">
        <f t="shared" si="4"/>
        <v>116.93048460702607</v>
      </c>
      <c r="E105" s="13">
        <f t="shared" si="5"/>
        <v>4247.6303073444333</v>
      </c>
    </row>
    <row r="106" spans="1:5" x14ac:dyDescent="0.25">
      <c r="A106" s="2">
        <v>44958</v>
      </c>
      <c r="B106" s="5">
        <f t="shared" si="6"/>
        <v>4247.6303073444333</v>
      </c>
      <c r="C106" s="13">
        <f t="shared" si="3"/>
        <v>15.928613652541623</v>
      </c>
      <c r="D106" s="13">
        <f t="shared" si="4"/>
        <v>117.36897392430242</v>
      </c>
      <c r="E106" s="13">
        <f t="shared" si="5"/>
        <v>4130.2613334201305</v>
      </c>
    </row>
    <row r="107" spans="1:5" x14ac:dyDescent="0.25">
      <c r="A107" s="2">
        <v>44986</v>
      </c>
      <c r="B107" s="5">
        <f t="shared" si="6"/>
        <v>4130.2613334201305</v>
      </c>
      <c r="C107" s="13">
        <f t="shared" si="3"/>
        <v>15.488480000325488</v>
      </c>
      <c r="D107" s="13">
        <f t="shared" si="4"/>
        <v>117.80910757651856</v>
      </c>
      <c r="E107" s="13">
        <f t="shared" si="5"/>
        <v>4012.4522258436118</v>
      </c>
    </row>
    <row r="108" spans="1:5" x14ac:dyDescent="0.25">
      <c r="A108" s="2">
        <v>45017</v>
      </c>
      <c r="B108" s="5">
        <f t="shared" si="6"/>
        <v>4012.4522258436118</v>
      </c>
      <c r="C108" s="13">
        <f t="shared" si="3"/>
        <v>15.046695846913543</v>
      </c>
      <c r="D108" s="13">
        <f t="shared" si="4"/>
        <v>118.25089172993052</v>
      </c>
      <c r="E108" s="13">
        <f t="shared" si="5"/>
        <v>3894.2013341136812</v>
      </c>
    </row>
    <row r="109" spans="1:5" x14ac:dyDescent="0.25">
      <c r="A109" s="2">
        <v>45047</v>
      </c>
      <c r="B109" s="5">
        <f t="shared" si="6"/>
        <v>3894.2013341136812</v>
      </c>
      <c r="C109" s="13">
        <f t="shared" si="3"/>
        <v>14.603255002926304</v>
      </c>
      <c r="D109" s="13">
        <f t="shared" si="4"/>
        <v>118.69433257391775</v>
      </c>
      <c r="E109" s="13">
        <f t="shared" si="5"/>
        <v>3775.5070015397637</v>
      </c>
    </row>
    <row r="110" spans="1:5" x14ac:dyDescent="0.25">
      <c r="A110" s="2">
        <v>45078</v>
      </c>
      <c r="B110" s="5">
        <f t="shared" si="6"/>
        <v>3775.5070015397637</v>
      </c>
      <c r="C110" s="13">
        <f t="shared" si="3"/>
        <v>14.158151255774113</v>
      </c>
      <c r="D110" s="13">
        <f t="shared" si="4"/>
        <v>119.13943632106994</v>
      </c>
      <c r="E110" s="13">
        <f t="shared" si="5"/>
        <v>3656.3675652186939</v>
      </c>
    </row>
    <row r="111" spans="1:5" x14ac:dyDescent="0.25">
      <c r="A111" s="2">
        <v>45108</v>
      </c>
      <c r="B111" s="5">
        <f t="shared" si="6"/>
        <v>3656.3675652186939</v>
      </c>
      <c r="C111" s="13">
        <f t="shared" si="3"/>
        <v>13.711378369570101</v>
      </c>
      <c r="D111" s="13">
        <f t="shared" si="4"/>
        <v>119.58620920727395</v>
      </c>
      <c r="E111" s="13">
        <f t="shared" si="5"/>
        <v>3536.78135601142</v>
      </c>
    </row>
    <row r="112" spans="1:5" x14ac:dyDescent="0.25">
      <c r="A112" s="2">
        <v>45139</v>
      </c>
      <c r="B112" s="5">
        <f t="shared" si="6"/>
        <v>3536.78135601142</v>
      </c>
      <c r="C112" s="13">
        <f t="shared" si="3"/>
        <v>13.262930085042825</v>
      </c>
      <c r="D112" s="13">
        <f t="shared" si="4"/>
        <v>120.03465749180123</v>
      </c>
      <c r="E112" s="13">
        <f t="shared" si="5"/>
        <v>3416.7466985196188</v>
      </c>
    </row>
    <row r="113" spans="1:5" x14ac:dyDescent="0.25">
      <c r="A113" s="2">
        <v>45170</v>
      </c>
      <c r="B113" s="5">
        <f t="shared" si="6"/>
        <v>3416.7466985196188</v>
      </c>
      <c r="C113" s="13">
        <f t="shared" si="3"/>
        <v>12.812800119448569</v>
      </c>
      <c r="D113" s="13">
        <f t="shared" si="4"/>
        <v>120.48478745739548</v>
      </c>
      <c r="E113" s="13">
        <f t="shared" si="5"/>
        <v>3296.2619110622231</v>
      </c>
    </row>
    <row r="114" spans="1:5" x14ac:dyDescent="0.25">
      <c r="A114" s="2">
        <v>45200</v>
      </c>
      <c r="B114" s="5">
        <f t="shared" si="6"/>
        <v>3296.2619110622231</v>
      </c>
      <c r="C114" s="13">
        <f t="shared" si="3"/>
        <v>12.360982166483337</v>
      </c>
      <c r="D114" s="13">
        <f t="shared" si="4"/>
        <v>120.93660541036071</v>
      </c>
      <c r="E114" s="13">
        <f t="shared" si="5"/>
        <v>3175.3253056518624</v>
      </c>
    </row>
    <row r="115" spans="1:5" x14ac:dyDescent="0.25">
      <c r="A115" s="2">
        <v>45231</v>
      </c>
      <c r="B115" s="5">
        <f t="shared" si="6"/>
        <v>3175.3253056518624</v>
      </c>
      <c r="C115" s="13">
        <f t="shared" si="3"/>
        <v>11.907469896194485</v>
      </c>
      <c r="D115" s="13">
        <f t="shared" si="4"/>
        <v>121.39011768064957</v>
      </c>
      <c r="E115" s="13">
        <f t="shared" si="5"/>
        <v>3053.9351879712131</v>
      </c>
    </row>
    <row r="116" spans="1:5" x14ac:dyDescent="0.25">
      <c r="A116" s="2">
        <v>45261</v>
      </c>
      <c r="B116" s="5">
        <f t="shared" si="6"/>
        <v>3053.9351879712131</v>
      </c>
      <c r="C116" s="13">
        <f t="shared" si="3"/>
        <v>11.452256954892048</v>
      </c>
      <c r="D116" s="13">
        <f t="shared" si="4"/>
        <v>121.845330621952</v>
      </c>
      <c r="E116" s="13">
        <f t="shared" si="5"/>
        <v>2932.0898573492609</v>
      </c>
    </row>
    <row r="117" spans="1:5" x14ac:dyDescent="0.25">
      <c r="A117" s="2">
        <v>45292</v>
      </c>
      <c r="B117" s="5">
        <f t="shared" si="6"/>
        <v>2932.0898573492609</v>
      </c>
      <c r="C117" s="13">
        <f t="shared" si="3"/>
        <v>10.995336965059728</v>
      </c>
      <c r="D117" s="13">
        <f t="shared" si="4"/>
        <v>122.30225061178433</v>
      </c>
      <c r="E117" s="13">
        <f t="shared" si="5"/>
        <v>2809.7876067374764</v>
      </c>
    </row>
    <row r="118" spans="1:5" x14ac:dyDescent="0.25">
      <c r="A118" s="2">
        <v>45323</v>
      </c>
      <c r="B118" s="5">
        <f t="shared" si="6"/>
        <v>2809.7876067374764</v>
      </c>
      <c r="C118" s="13">
        <f t="shared" si="3"/>
        <v>10.536703525265535</v>
      </c>
      <c r="D118" s="13">
        <f t="shared" si="4"/>
        <v>122.76088405157851</v>
      </c>
      <c r="E118" s="13">
        <f t="shared" si="5"/>
        <v>2687.0267226858978</v>
      </c>
    </row>
    <row r="119" spans="1:5" x14ac:dyDescent="0.25">
      <c r="A119" s="2">
        <v>45352</v>
      </c>
      <c r="B119" s="5">
        <f t="shared" si="6"/>
        <v>2687.0267226858978</v>
      </c>
      <c r="C119" s="13">
        <f t="shared" si="3"/>
        <v>10.076350210072116</v>
      </c>
      <c r="D119" s="13">
        <f t="shared" si="4"/>
        <v>123.22123736677193</v>
      </c>
      <c r="E119" s="13">
        <f t="shared" si="5"/>
        <v>2563.8054853191256</v>
      </c>
    </row>
    <row r="120" spans="1:5" x14ac:dyDescent="0.25">
      <c r="A120" s="2">
        <v>45383</v>
      </c>
      <c r="B120" s="5">
        <f t="shared" si="6"/>
        <v>2563.8054853191256</v>
      </c>
      <c r="C120" s="13">
        <f t="shared" si="3"/>
        <v>9.6142705699467204</v>
      </c>
      <c r="D120" s="13">
        <f t="shared" si="4"/>
        <v>123.68331700689733</v>
      </c>
      <c r="E120" s="13">
        <f t="shared" si="5"/>
        <v>2440.1221683122285</v>
      </c>
    </row>
    <row r="121" spans="1:5" x14ac:dyDescent="0.25">
      <c r="A121" s="2">
        <v>45413</v>
      </c>
      <c r="B121" s="5">
        <f t="shared" si="6"/>
        <v>2440.1221683122285</v>
      </c>
      <c r="C121" s="13">
        <f t="shared" si="3"/>
        <v>9.1504581311708559</v>
      </c>
      <c r="D121" s="13">
        <f t="shared" si="4"/>
        <v>124.1471294456732</v>
      </c>
      <c r="E121" s="13">
        <f t="shared" si="5"/>
        <v>2315.9750388665552</v>
      </c>
    </row>
    <row r="122" spans="1:5" x14ac:dyDescent="0.25">
      <c r="A122" s="2">
        <v>45444</v>
      </c>
      <c r="B122" s="5">
        <f t="shared" si="6"/>
        <v>2315.9750388665552</v>
      </c>
      <c r="C122" s="13">
        <f t="shared" si="3"/>
        <v>8.6849063957495822</v>
      </c>
      <c r="D122" s="13">
        <f t="shared" si="4"/>
        <v>124.61268118109447</v>
      </c>
      <c r="E122" s="13">
        <f t="shared" si="5"/>
        <v>2191.3623576854607</v>
      </c>
    </row>
    <row r="123" spans="1:5" x14ac:dyDescent="0.25">
      <c r="A123" s="2">
        <v>45474</v>
      </c>
      <c r="B123" s="5">
        <f t="shared" si="6"/>
        <v>2191.3623576854607</v>
      </c>
      <c r="C123" s="13">
        <f t="shared" si="3"/>
        <v>8.2176088413204766</v>
      </c>
      <c r="D123" s="13">
        <f t="shared" si="4"/>
        <v>125.07997873552358</v>
      </c>
      <c r="E123" s="13">
        <f t="shared" si="5"/>
        <v>2066.2823789499371</v>
      </c>
    </row>
    <row r="124" spans="1:5" x14ac:dyDescent="0.25">
      <c r="A124" s="2">
        <v>45505</v>
      </c>
      <c r="B124" s="5">
        <f t="shared" si="6"/>
        <v>2066.2823789499371</v>
      </c>
      <c r="C124" s="13">
        <f t="shared" si="3"/>
        <v>7.748558921062263</v>
      </c>
      <c r="D124" s="13">
        <f t="shared" si="4"/>
        <v>125.54902865578178</v>
      </c>
      <c r="E124" s="13">
        <f t="shared" si="5"/>
        <v>1940.7333502941553</v>
      </c>
    </row>
    <row r="125" spans="1:5" x14ac:dyDescent="0.25">
      <c r="A125" s="2">
        <v>45536</v>
      </c>
      <c r="B125" s="5">
        <f t="shared" si="6"/>
        <v>1940.7333502941553</v>
      </c>
      <c r="C125" s="13">
        <f t="shared" si="3"/>
        <v>7.2777500636030821</v>
      </c>
      <c r="D125" s="13">
        <f t="shared" si="4"/>
        <v>126.01983751324097</v>
      </c>
      <c r="E125" s="13">
        <f t="shared" si="5"/>
        <v>1814.7135127809145</v>
      </c>
    </row>
    <row r="126" spans="1:5" x14ac:dyDescent="0.25">
      <c r="A126" s="2">
        <v>45566</v>
      </c>
      <c r="B126" s="5">
        <f t="shared" si="6"/>
        <v>1814.7135127809145</v>
      </c>
      <c r="C126" s="13">
        <f t="shared" si="3"/>
        <v>6.8051756729284287</v>
      </c>
      <c r="D126" s="13">
        <f t="shared" si="4"/>
        <v>126.49241190391562</v>
      </c>
      <c r="E126" s="13">
        <f t="shared" si="5"/>
        <v>1688.2211008769989</v>
      </c>
    </row>
    <row r="127" spans="1:5" x14ac:dyDescent="0.25">
      <c r="A127" s="2">
        <v>45597</v>
      </c>
      <c r="B127" s="5">
        <f t="shared" si="6"/>
        <v>1688.2211008769989</v>
      </c>
      <c r="C127" s="13">
        <f t="shared" si="3"/>
        <v>6.3308291282887454</v>
      </c>
      <c r="D127" s="13">
        <f t="shared" si="4"/>
        <v>126.96675844855531</v>
      </c>
      <c r="E127" s="13">
        <f t="shared" si="5"/>
        <v>1561.2543424284436</v>
      </c>
    </row>
    <row r="128" spans="1:5" x14ac:dyDescent="0.25">
      <c r="A128" s="2">
        <v>45627</v>
      </c>
      <c r="B128" s="5">
        <f t="shared" si="6"/>
        <v>1561.2543424284436</v>
      </c>
      <c r="C128" s="13">
        <f t="shared" si="3"/>
        <v>5.8547037841066638</v>
      </c>
      <c r="D128" s="13">
        <f t="shared" si="4"/>
        <v>127.44288379273739</v>
      </c>
      <c r="E128" s="13">
        <f t="shared" si="5"/>
        <v>1433.8114586357062</v>
      </c>
    </row>
    <row r="129" spans="1:6" x14ac:dyDescent="0.25">
      <c r="A129" s="2">
        <v>45658</v>
      </c>
      <c r="B129" s="5">
        <f t="shared" si="6"/>
        <v>1433.8114586357062</v>
      </c>
      <c r="C129" s="13">
        <f t="shared" si="3"/>
        <v>5.3767929698838977</v>
      </c>
      <c r="D129" s="13">
        <f t="shared" si="4"/>
        <v>127.92079460696016</v>
      </c>
      <c r="E129" s="13">
        <f t="shared" si="5"/>
        <v>1305.890664028746</v>
      </c>
    </row>
    <row r="130" spans="1:6" x14ac:dyDescent="0.25">
      <c r="A130" s="2">
        <v>45689</v>
      </c>
      <c r="B130" s="5">
        <f t="shared" si="6"/>
        <v>1305.890664028746</v>
      </c>
      <c r="C130" s="13">
        <f t="shared" si="3"/>
        <v>4.8970899901077969</v>
      </c>
      <c r="D130" s="13">
        <f t="shared" si="4"/>
        <v>128.40049758673626</v>
      </c>
      <c r="E130" s="13">
        <f t="shared" si="5"/>
        <v>1177.4901664420097</v>
      </c>
    </row>
    <row r="131" spans="1:6" x14ac:dyDescent="0.25">
      <c r="A131" s="2">
        <v>45717</v>
      </c>
      <c r="B131" s="5">
        <f t="shared" si="6"/>
        <v>1177.4901664420097</v>
      </c>
      <c r="C131" s="13">
        <f t="shared" si="3"/>
        <v>4.4155881241575363</v>
      </c>
      <c r="D131" s="13">
        <f t="shared" si="4"/>
        <v>128.88199945268653</v>
      </c>
      <c r="E131" s="13">
        <f t="shared" si="5"/>
        <v>1048.6081669893231</v>
      </c>
    </row>
    <row r="132" spans="1:6" x14ac:dyDescent="0.25">
      <c r="A132" s="2">
        <v>45748</v>
      </c>
      <c r="B132" s="5">
        <f t="shared" si="6"/>
        <v>1048.6081669893231</v>
      </c>
      <c r="C132" s="13">
        <f t="shared" si="3"/>
        <v>3.9322806262099612</v>
      </c>
      <c r="D132" s="13">
        <f t="shared" si="4"/>
        <v>129.36530695063408</v>
      </c>
      <c r="E132" s="13">
        <f t="shared" si="5"/>
        <v>919.24286003868906</v>
      </c>
    </row>
    <row r="133" spans="1:6" x14ac:dyDescent="0.25">
      <c r="A133" s="2">
        <v>45778</v>
      </c>
      <c r="B133" s="5">
        <f t="shared" si="6"/>
        <v>919.24286003868906</v>
      </c>
      <c r="C133" s="13">
        <f t="shared" si="3"/>
        <v>3.4471607251450838</v>
      </c>
      <c r="D133" s="13">
        <f t="shared" si="4"/>
        <v>129.85042685169896</v>
      </c>
      <c r="E133" s="13">
        <f t="shared" si="5"/>
        <v>789.39243318699005</v>
      </c>
    </row>
    <row r="134" spans="1:6" x14ac:dyDescent="0.25">
      <c r="A134" s="2">
        <v>45809</v>
      </c>
      <c r="B134" s="5">
        <f t="shared" si="6"/>
        <v>789.39243318699005</v>
      </c>
      <c r="C134" s="13">
        <f t="shared" si="3"/>
        <v>2.9602216244512127</v>
      </c>
      <c r="D134" s="13">
        <f t="shared" si="4"/>
        <v>130.33736595239284</v>
      </c>
      <c r="E134" s="13">
        <f t="shared" si="5"/>
        <v>659.05506723459723</v>
      </c>
    </row>
    <row r="135" spans="1:6" x14ac:dyDescent="0.25">
      <c r="A135" s="2">
        <v>45839</v>
      </c>
      <c r="B135" s="5">
        <f t="shared" si="6"/>
        <v>659.05506723459723</v>
      </c>
      <c r="C135" s="13">
        <f t="shared" si="3"/>
        <v>2.4714565021297394</v>
      </c>
      <c r="D135" s="13">
        <f t="shared" si="4"/>
        <v>130.82613107471431</v>
      </c>
      <c r="E135" s="13">
        <f t="shared" si="5"/>
        <v>528.22893615988289</v>
      </c>
    </row>
    <row r="136" spans="1:6" x14ac:dyDescent="0.25">
      <c r="A136" s="2">
        <v>45870</v>
      </c>
      <c r="B136" s="5">
        <f t="shared" si="6"/>
        <v>528.22893615988289</v>
      </c>
      <c r="C136" s="13">
        <f t="shared" si="3"/>
        <v>1.9808585105995606</v>
      </c>
      <c r="D136" s="13">
        <f t="shared" si="4"/>
        <v>131.31672906624448</v>
      </c>
      <c r="E136" s="13">
        <f t="shared" si="5"/>
        <v>396.91220709363841</v>
      </c>
    </row>
    <row r="137" spans="1:6" x14ac:dyDescent="0.25">
      <c r="A137" s="2">
        <v>45901</v>
      </c>
      <c r="B137" s="5">
        <f t="shared" si="6"/>
        <v>396.91220709363841</v>
      </c>
      <c r="C137" s="13">
        <f t="shared" si="3"/>
        <v>1.4884207766011439</v>
      </c>
      <c r="D137" s="13">
        <f t="shared" si="4"/>
        <v>131.80916680024291</v>
      </c>
      <c r="E137" s="13">
        <f t="shared" si="5"/>
        <v>265.10304029339551</v>
      </c>
    </row>
    <row r="138" spans="1:6" x14ac:dyDescent="0.25">
      <c r="A138" s="2">
        <v>45931</v>
      </c>
      <c r="B138" s="5">
        <f t="shared" si="6"/>
        <v>265.10304029339551</v>
      </c>
      <c r="C138" s="13">
        <f t="shared" si="3"/>
        <v>0.99413640110023316</v>
      </c>
      <c r="D138" s="13">
        <f t="shared" si="4"/>
        <v>132.30345117574382</v>
      </c>
      <c r="E138" s="13">
        <f t="shared" si="5"/>
        <v>132.79958911765169</v>
      </c>
    </row>
    <row r="139" spans="1:6" x14ac:dyDescent="0.25">
      <c r="A139" s="2">
        <v>45962</v>
      </c>
      <c r="B139" s="5">
        <f t="shared" si="6"/>
        <v>132.79958911765169</v>
      </c>
      <c r="C139" s="13">
        <f t="shared" si="3"/>
        <v>0.49799845919119384</v>
      </c>
      <c r="D139" s="13">
        <f t="shared" si="4"/>
        <v>132.79958911765286</v>
      </c>
      <c r="E139" s="15">
        <f>B139-D139</f>
        <v>-1.1652900866465643E-12</v>
      </c>
      <c r="F139" s="14" t="s">
        <v>17</v>
      </c>
    </row>
    <row r="140" spans="1:6" x14ac:dyDescent="0.25">
      <c r="A140" s="2"/>
      <c r="B140" s="5"/>
      <c r="C140" s="13"/>
      <c r="D140" s="13"/>
      <c r="E140" s="13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6</xdr:col>
                    <xdr:colOff>323850</xdr:colOff>
                    <xdr:row>11</xdr:row>
                    <xdr:rowOff>66675</xdr:rowOff>
                  </from>
                  <to>
                    <xdr:col>7</xdr:col>
                    <xdr:colOff>447675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David Chen</cp:lastModifiedBy>
  <dcterms:created xsi:type="dcterms:W3CDTF">2020-04-12T21:17:11Z</dcterms:created>
  <dcterms:modified xsi:type="dcterms:W3CDTF">2021-03-09T21:40:51Z</dcterms:modified>
</cp:coreProperties>
</file>